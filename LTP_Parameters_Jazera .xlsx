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ponti/Documents/GitHub/rigid-inclusions/"/>
    </mc:Choice>
  </mc:AlternateContent>
  <xr:revisionPtr revIDLastSave="0" documentId="13_ncr:1_{7B2BB217-38AB-B548-852C-7C1FAEC12519}" xr6:coauthVersionLast="47" xr6:coauthVersionMax="47" xr10:uidLastSave="{00000000-0000-0000-0000-000000000000}"/>
  <bookViews>
    <workbookView xWindow="51400" yWindow="620" windowWidth="38400" windowHeight="20980" tabRatio="500" xr2:uid="{00000000-000D-0000-FFFF-FFFF00000000}"/>
  </bookViews>
  <sheets>
    <sheet name="LTP Paramet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8" i="1"/>
  <c r="D27" i="1"/>
</calcChain>
</file>

<file path=xl/sharedStrings.xml><?xml version="1.0" encoding="utf-8"?>
<sst xmlns="http://schemas.openxmlformats.org/spreadsheetml/2006/main" count="73" uniqueCount="70">
  <si>
    <t>LOAD TRANSFER PLATFORM (LTP) — DESIGN PARAMETERS</t>
  </si>
  <si>
    <t>Jazera Royal Palace 110/13.8 kV S/S — Kingdom of Saudi Arabia</t>
  </si>
  <si>
    <t>Document:</t>
  </si>
  <si>
    <t>FMSA 24047-FTR-CMC-00, Rev. 0</t>
  </si>
  <si>
    <t>Title:</t>
  </si>
  <si>
    <t>Soil Improvement CMC — Final Technical Report</t>
  </si>
  <si>
    <t>Date:</t>
  </si>
  <si>
    <t>17 March 2025</t>
  </si>
  <si>
    <t>Prepared by:</t>
  </si>
  <si>
    <t>Menard / Freyssinet Menard Saudi Arabia</t>
  </si>
  <si>
    <t>1. Geotechnical Design Parameters (Layer 1 — LTP)</t>
  </si>
  <si>
    <t>Symbol</t>
  </si>
  <si>
    <t>Parameter</t>
  </si>
  <si>
    <t>Value</t>
  </si>
  <si>
    <t>Unit</t>
  </si>
  <si>
    <t>E_Y</t>
  </si>
  <si>
    <t>Young's modulus (deformation modulus)</t>
  </si>
  <si>
    <t>kPa</t>
  </si>
  <si>
    <t>γ</t>
  </si>
  <si>
    <t>Unit weight</t>
  </si>
  <si>
    <t>kN/m³</t>
  </si>
  <si>
    <t>c'</t>
  </si>
  <si>
    <t>Effective cohesion</t>
  </si>
  <si>
    <t>φ'</t>
  </si>
  <si>
    <t>Effective friction angle</t>
  </si>
  <si>
    <t>°</t>
  </si>
  <si>
    <t>υ</t>
  </si>
  <si>
    <t>Poisson's ratio</t>
  </si>
  <si>
    <t>–</t>
  </si>
  <si>
    <t>2. Material &amp; Acceptance Specification</t>
  </si>
  <si>
    <t>Item</t>
  </si>
  <si>
    <t>Requirement</t>
  </si>
  <si>
    <t>Material type</t>
  </si>
  <si>
    <t>Well-compacted granular fill (good quality)</t>
  </si>
  <si>
    <t>Compaction acceptance (stiffness)</t>
  </si>
  <si>
    <t>E_Y &gt; 65 MPa (plate load test modulus)</t>
  </si>
  <si>
    <t>Design modulus used (E_Y)</t>
  </si>
  <si>
    <t>60,000 kPa (60 MPa)</t>
  </si>
  <si>
    <t>Responsibility</t>
  </si>
  <si>
    <t>LTP works executed by Main Contractor (not by Menard)</t>
  </si>
  <si>
    <t>Function</t>
  </si>
  <si>
    <t>Spread structural load to CMC network; produce global elastic behavior of soil/inclusion/LTP</t>
  </si>
  <si>
    <t>Acceptance testing</t>
  </si>
  <si>
    <t>Plate Load Test (PLT) &amp; Zone Load Test (ZLT)</t>
  </si>
  <si>
    <t>3. Implied LTP Thickness by Structure (derived from project levels, §4.1)</t>
  </si>
  <si>
    <t>Structure</t>
  </si>
  <si>
    <t>Bottom of Foundation (m RL)</t>
  </si>
  <si>
    <t>CMC Cut-off Level (m RL)</t>
  </si>
  <si>
    <t>Implied LTP Thickness (m)</t>
  </si>
  <si>
    <t>Boundary Wall</t>
  </si>
  <si>
    <t>Building Foundation &amp; TR Tunnels</t>
  </si>
  <si>
    <t>Power Transformer Foundation</t>
  </si>
  <si>
    <t>Outdoor Equipment Foundation</t>
  </si>
  <si>
    <t>Auxiliary Tr Foundation</t>
  </si>
  <si>
    <t>Shunt Reactor Foundation</t>
  </si>
  <si>
    <t>Easting (m)</t>
  </si>
  <si>
    <t>Northing (m)</t>
  </si>
  <si>
    <t>Boundary Wall Foundation (perimeter)</t>
  </si>
  <si>
    <t>Building Raft Foundation</t>
  </si>
  <si>
    <t>Building Isolated Footing Foundation</t>
  </si>
  <si>
    <t>Power Transformer Foundation #1 (west)</t>
  </si>
  <si>
    <t>Power Transformer Foundation #2 (centre)</t>
  </si>
  <si>
    <t>Power Transformer Foundation #3 (east)</t>
  </si>
  <si>
    <t>Auxiliary Transformer Foundation</t>
  </si>
  <si>
    <t>Outdoor Foundation - NW pillar</t>
  </si>
  <si>
    <t>Outdoor Foundation - NE pillar</t>
  </si>
  <si>
    <t>Outdoor Foundation - mid-W pillar</t>
  </si>
  <si>
    <t>Outdoor Foundation - mid-E pillar</t>
  </si>
  <si>
    <t>Septic Tank Foundation (visual estimate)</t>
  </si>
  <si>
    <t xml:space="preserve">4. Approximate Structure Coordinates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</si>
</sst>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0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rgb="FF1F4E78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i/>
      <sz val="9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2E75B6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FF2CC"/>
        <bgColor rgb="FFFFEEEE"/>
      </patternFill>
    </fill>
    <fill>
      <patternFill patternType="solid">
        <fgColor rgb="FFE2EFDA"/>
        <bgColor rgb="FFDEEBF7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165" fontId="3" fillId="6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3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EEE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461818</xdr:colOff>
      <xdr:row>4</xdr:row>
      <xdr:rowOff>186652</xdr:rowOff>
    </xdr:from>
    <xdr:to>
      <xdr:col>20</xdr:col>
      <xdr:colOff>239653</xdr:colOff>
      <xdr:row>36</xdr:row>
      <xdr:rowOff>128240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0B405-86C2-34E0-6057-E5CD1766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6818" y="1128569"/>
          <a:ext cx="12128585" cy="6852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tabSelected="1" zoomScale="120" zoomScaleNormal="120" workbookViewId="0">
      <selection activeCell="A2" sqref="A2:G2"/>
    </sheetView>
  </sheetViews>
  <sheetFormatPr baseColWidth="10" defaultColWidth="8.6640625" defaultRowHeight="15" x14ac:dyDescent="0.2"/>
  <cols>
    <col min="1" max="1" width="31.6640625" bestFit="1" customWidth="1"/>
    <col min="2" max="2" width="22" customWidth="1"/>
    <col min="3" max="3" width="18" customWidth="1"/>
    <col min="4" max="4" width="20" customWidth="1"/>
    <col min="5" max="5" width="18" customWidth="1"/>
    <col min="6" max="6" width="14" customWidth="1"/>
    <col min="7" max="7" width="18" customWidth="1"/>
  </cols>
  <sheetData>
    <row r="1" spans="1:7" ht="25.5" customHeight="1" x14ac:dyDescent="0.2">
      <c r="A1" s="17" t="s">
        <v>0</v>
      </c>
      <c r="B1" s="17"/>
      <c r="C1" s="17"/>
      <c r="D1" s="17"/>
      <c r="E1" s="17"/>
      <c r="F1" s="17"/>
      <c r="G1" s="17"/>
    </row>
    <row r="2" spans="1:7" ht="19.5" customHeight="1" x14ac:dyDescent="0.2">
      <c r="A2" s="18" t="s">
        <v>1</v>
      </c>
      <c r="B2" s="18"/>
      <c r="C2" s="18"/>
      <c r="D2" s="18"/>
      <c r="E2" s="18"/>
      <c r="F2" s="18"/>
      <c r="G2" s="18"/>
    </row>
    <row r="3" spans="1:7" ht="15" customHeight="1" x14ac:dyDescent="0.2">
      <c r="A3" s="14" t="s">
        <v>2</v>
      </c>
      <c r="B3" s="20" t="s">
        <v>3</v>
      </c>
      <c r="C3" s="20"/>
      <c r="D3" s="20"/>
    </row>
    <row r="4" spans="1:7" ht="15" customHeight="1" x14ac:dyDescent="0.2">
      <c r="A4" s="14" t="s">
        <v>4</v>
      </c>
      <c r="B4" s="20" t="s">
        <v>5</v>
      </c>
      <c r="C4" s="20"/>
      <c r="D4" s="20"/>
    </row>
    <row r="5" spans="1:7" ht="15" customHeight="1" x14ac:dyDescent="0.2">
      <c r="A5" s="14" t="s">
        <v>6</v>
      </c>
      <c r="B5" s="20" t="s">
        <v>7</v>
      </c>
      <c r="C5" s="20"/>
      <c r="D5" s="20"/>
    </row>
    <row r="6" spans="1:7" ht="15" customHeight="1" x14ac:dyDescent="0.2">
      <c r="A6" s="14" t="s">
        <v>8</v>
      </c>
      <c r="B6" s="20" t="s">
        <v>9</v>
      </c>
      <c r="C6" s="20"/>
      <c r="D6" s="20"/>
    </row>
    <row r="8" spans="1:7" ht="15" customHeight="1" x14ac:dyDescent="0.2">
      <c r="A8" s="15" t="s">
        <v>10</v>
      </c>
      <c r="B8" s="15"/>
      <c r="C8" s="15"/>
      <c r="D8" s="15"/>
      <c r="E8" s="11"/>
      <c r="F8" s="11"/>
      <c r="G8" s="11"/>
    </row>
    <row r="9" spans="1:7" ht="15" customHeight="1" x14ac:dyDescent="0.2">
      <c r="A9" s="2" t="s">
        <v>11</v>
      </c>
      <c r="B9" s="2" t="s">
        <v>12</v>
      </c>
      <c r="C9" s="2" t="s">
        <v>13</v>
      </c>
      <c r="D9" s="2" t="s">
        <v>14</v>
      </c>
    </row>
    <row r="10" spans="1:7" ht="23.25" customHeight="1" x14ac:dyDescent="0.2">
      <c r="A10" s="3" t="s">
        <v>15</v>
      </c>
      <c r="B10" s="1" t="s">
        <v>16</v>
      </c>
      <c r="C10" s="4">
        <v>60000</v>
      </c>
      <c r="D10" s="3" t="s">
        <v>17</v>
      </c>
    </row>
    <row r="11" spans="1:7" ht="23.25" customHeight="1" x14ac:dyDescent="0.2">
      <c r="A11" s="3" t="s">
        <v>18</v>
      </c>
      <c r="B11" s="1" t="s">
        <v>19</v>
      </c>
      <c r="C11" s="5">
        <v>16</v>
      </c>
      <c r="D11" s="3" t="s">
        <v>20</v>
      </c>
    </row>
    <row r="12" spans="1:7" ht="23.25" customHeight="1" x14ac:dyDescent="0.2">
      <c r="A12" s="3" t="s">
        <v>21</v>
      </c>
      <c r="B12" s="1" t="s">
        <v>22</v>
      </c>
      <c r="C12" s="5">
        <v>0</v>
      </c>
      <c r="D12" s="3" t="s">
        <v>17</v>
      </c>
    </row>
    <row r="13" spans="1:7" ht="23.25" customHeight="1" x14ac:dyDescent="0.2">
      <c r="A13" s="3" t="s">
        <v>23</v>
      </c>
      <c r="B13" s="1" t="s">
        <v>24</v>
      </c>
      <c r="C13" s="5">
        <v>38</v>
      </c>
      <c r="D13" s="3" t="s">
        <v>25</v>
      </c>
    </row>
    <row r="14" spans="1:7" ht="23.25" customHeight="1" x14ac:dyDescent="0.2">
      <c r="A14" s="3" t="s">
        <v>26</v>
      </c>
      <c r="B14" s="1" t="s">
        <v>27</v>
      </c>
      <c r="C14" s="6">
        <v>0.3</v>
      </c>
      <c r="D14" s="3" t="s">
        <v>28</v>
      </c>
    </row>
    <row r="16" spans="1:7" ht="15" customHeight="1" x14ac:dyDescent="0.2">
      <c r="A16" s="15" t="s">
        <v>29</v>
      </c>
      <c r="B16" s="15"/>
      <c r="C16" s="15"/>
      <c r="D16" s="15"/>
      <c r="E16" s="11"/>
      <c r="F16" s="11"/>
      <c r="G16" s="11"/>
    </row>
    <row r="17" spans="1:7" ht="15" customHeight="1" x14ac:dyDescent="0.2">
      <c r="A17" s="2" t="s">
        <v>30</v>
      </c>
      <c r="B17" s="19" t="s">
        <v>31</v>
      </c>
      <c r="C17" s="19"/>
      <c r="D17" s="19"/>
    </row>
    <row r="18" spans="1:7" ht="15" customHeight="1" x14ac:dyDescent="0.2">
      <c r="A18" s="7" t="s">
        <v>32</v>
      </c>
      <c r="B18" s="16" t="s">
        <v>33</v>
      </c>
      <c r="C18" s="16"/>
      <c r="D18" s="16"/>
    </row>
    <row r="19" spans="1:7" x14ac:dyDescent="0.2">
      <c r="A19" s="7" t="s">
        <v>34</v>
      </c>
      <c r="B19" s="16" t="s">
        <v>35</v>
      </c>
      <c r="C19" s="16"/>
      <c r="D19" s="16"/>
    </row>
    <row r="20" spans="1:7" x14ac:dyDescent="0.2">
      <c r="A20" s="7" t="s">
        <v>36</v>
      </c>
      <c r="B20" s="16" t="s">
        <v>37</v>
      </c>
      <c r="C20" s="16"/>
      <c r="D20" s="16"/>
    </row>
    <row r="21" spans="1:7" ht="15" customHeight="1" x14ac:dyDescent="0.2">
      <c r="A21" s="7" t="s">
        <v>38</v>
      </c>
      <c r="B21" s="16" t="s">
        <v>39</v>
      </c>
      <c r="C21" s="16"/>
      <c r="D21" s="16"/>
    </row>
    <row r="22" spans="1:7" ht="23.25" customHeight="1" x14ac:dyDescent="0.2">
      <c r="A22" s="7" t="s">
        <v>40</v>
      </c>
      <c r="B22" s="16" t="s">
        <v>41</v>
      </c>
      <c r="C22" s="16"/>
      <c r="D22" s="16"/>
    </row>
    <row r="23" spans="1:7" ht="15" customHeight="1" x14ac:dyDescent="0.2">
      <c r="A23" s="7" t="s">
        <v>42</v>
      </c>
      <c r="B23" s="16" t="s">
        <v>43</v>
      </c>
      <c r="C23" s="16"/>
      <c r="D23" s="16"/>
    </row>
    <row r="25" spans="1:7" ht="15" customHeight="1" x14ac:dyDescent="0.2">
      <c r="A25" s="15" t="s">
        <v>44</v>
      </c>
      <c r="B25" s="15"/>
      <c r="C25" s="15"/>
      <c r="D25" s="15"/>
      <c r="E25" s="11"/>
      <c r="F25" s="11"/>
      <c r="G25" s="11"/>
    </row>
    <row r="26" spans="1:7" ht="28" x14ac:dyDescent="0.2">
      <c r="A26" s="2" t="s">
        <v>45</v>
      </c>
      <c r="B26" s="2" t="s">
        <v>46</v>
      </c>
      <c r="C26" s="2" t="s">
        <v>47</v>
      </c>
      <c r="D26" s="2" t="s">
        <v>48</v>
      </c>
    </row>
    <row r="27" spans="1:7" ht="15" customHeight="1" x14ac:dyDescent="0.2">
      <c r="A27" s="1" t="s">
        <v>49</v>
      </c>
      <c r="B27" s="8">
        <v>6.55</v>
      </c>
      <c r="C27" s="8">
        <v>6.25</v>
      </c>
      <c r="D27" s="9">
        <f t="shared" ref="D27:D32" si="0">B27-C27</f>
        <v>0.29999999999999982</v>
      </c>
    </row>
    <row r="28" spans="1:7" ht="15" customHeight="1" x14ac:dyDescent="0.2">
      <c r="A28" s="1" t="s">
        <v>50</v>
      </c>
      <c r="B28" s="8">
        <v>6.85</v>
      </c>
      <c r="C28" s="8">
        <v>6.25</v>
      </c>
      <c r="D28" s="9">
        <f t="shared" si="0"/>
        <v>0.59999999999999964</v>
      </c>
    </row>
    <row r="29" spans="1:7" ht="15" customHeight="1" x14ac:dyDescent="0.2">
      <c r="A29" s="1" t="s">
        <v>51</v>
      </c>
      <c r="B29" s="8">
        <v>7.25</v>
      </c>
      <c r="C29" s="8">
        <v>6.25</v>
      </c>
      <c r="D29" s="9">
        <f t="shared" si="0"/>
        <v>1</v>
      </c>
    </row>
    <row r="30" spans="1:7" ht="15" customHeight="1" x14ac:dyDescent="0.2">
      <c r="A30" s="1" t="s">
        <v>52</v>
      </c>
      <c r="B30" s="8">
        <v>7.75</v>
      </c>
      <c r="C30" s="8">
        <v>6.25</v>
      </c>
      <c r="D30" s="9">
        <f t="shared" si="0"/>
        <v>1.5</v>
      </c>
    </row>
    <row r="31" spans="1:7" ht="15" customHeight="1" x14ac:dyDescent="0.2">
      <c r="A31" s="1" t="s">
        <v>53</v>
      </c>
      <c r="B31" s="8">
        <v>8</v>
      </c>
      <c r="C31" s="8">
        <v>6.25</v>
      </c>
      <c r="D31" s="9">
        <f t="shared" si="0"/>
        <v>1.75</v>
      </c>
    </row>
    <row r="32" spans="1:7" ht="15" customHeight="1" x14ac:dyDescent="0.2">
      <c r="A32" s="1" t="s">
        <v>54</v>
      </c>
      <c r="B32" s="8">
        <v>8</v>
      </c>
      <c r="C32" s="8">
        <v>6.25</v>
      </c>
      <c r="D32" s="9">
        <f t="shared" si="0"/>
        <v>1.75</v>
      </c>
    </row>
    <row r="34" spans="1:7" ht="16" x14ac:dyDescent="0.2">
      <c r="A34" s="15" t="s">
        <v>69</v>
      </c>
      <c r="B34" s="15"/>
      <c r="C34" s="15"/>
      <c r="D34" s="11"/>
      <c r="E34" s="11"/>
      <c r="F34" s="11"/>
      <c r="G34" s="11"/>
    </row>
    <row r="35" spans="1:7" x14ac:dyDescent="0.2">
      <c r="A35" s="2" t="s">
        <v>45</v>
      </c>
      <c r="B35" s="2" t="s">
        <v>55</v>
      </c>
      <c r="C35" s="2" t="s">
        <v>56</v>
      </c>
      <c r="D35" s="12"/>
      <c r="E35" s="12"/>
      <c r="F35" s="12"/>
      <c r="G35" s="12"/>
    </row>
    <row r="36" spans="1:7" x14ac:dyDescent="0.2">
      <c r="A36" s="1" t="s">
        <v>57</v>
      </c>
      <c r="B36" s="10">
        <v>502979.20500000002</v>
      </c>
      <c r="C36" s="10">
        <v>2443929.844</v>
      </c>
      <c r="D36" s="13"/>
      <c r="E36" s="13"/>
      <c r="F36" s="13"/>
      <c r="G36" s="13"/>
    </row>
    <row r="37" spans="1:7" x14ac:dyDescent="0.2">
      <c r="A37" s="1" t="s">
        <v>58</v>
      </c>
      <c r="B37" s="10">
        <v>502983.28399999999</v>
      </c>
      <c r="C37" s="10">
        <v>2443931.375</v>
      </c>
    </row>
    <row r="38" spans="1:7" x14ac:dyDescent="0.2">
      <c r="A38" s="1" t="s">
        <v>59</v>
      </c>
      <c r="B38" s="10">
        <v>502987.57299999997</v>
      </c>
      <c r="C38" s="10">
        <v>2443953.656</v>
      </c>
    </row>
    <row r="39" spans="1:7" ht="28" x14ac:dyDescent="0.2">
      <c r="A39" s="1" t="s">
        <v>60</v>
      </c>
      <c r="B39" s="10">
        <v>502981.315</v>
      </c>
      <c r="C39" s="10">
        <v>2443908.463</v>
      </c>
    </row>
    <row r="40" spans="1:7" ht="28" x14ac:dyDescent="0.2">
      <c r="A40" s="1" t="s">
        <v>61</v>
      </c>
      <c r="B40" s="10">
        <v>502994.41700000002</v>
      </c>
      <c r="C40" s="10">
        <v>2443915.9709999999</v>
      </c>
    </row>
    <row r="41" spans="1:7" ht="28" x14ac:dyDescent="0.2">
      <c r="A41" s="1" t="s">
        <v>62</v>
      </c>
      <c r="B41" s="10">
        <v>503007.46799999999</v>
      </c>
      <c r="C41" s="10">
        <v>2443923.5649999999</v>
      </c>
    </row>
    <row r="42" spans="1:7" x14ac:dyDescent="0.2">
      <c r="A42" s="1" t="s">
        <v>54</v>
      </c>
      <c r="B42" s="10">
        <v>502965.83</v>
      </c>
      <c r="C42" s="10">
        <v>2443953.1830000002</v>
      </c>
    </row>
    <row r="43" spans="1:7" x14ac:dyDescent="0.2">
      <c r="A43" s="1" t="s">
        <v>63</v>
      </c>
      <c r="B43" s="10">
        <v>502984.44699999999</v>
      </c>
      <c r="C43" s="10">
        <v>2443963.736</v>
      </c>
    </row>
    <row r="44" spans="1:7" x14ac:dyDescent="0.2">
      <c r="A44" s="1" t="s">
        <v>64</v>
      </c>
      <c r="B44" s="10">
        <v>502947.49900000001</v>
      </c>
      <c r="C44" s="10">
        <v>2443942.3319999999</v>
      </c>
    </row>
    <row r="45" spans="1:7" x14ac:dyDescent="0.2">
      <c r="A45" s="1" t="s">
        <v>65</v>
      </c>
      <c r="B45" s="10">
        <v>502994.09</v>
      </c>
      <c r="C45" s="10">
        <v>2443969.838</v>
      </c>
    </row>
    <row r="46" spans="1:7" x14ac:dyDescent="0.2">
      <c r="A46" s="1" t="s">
        <v>66</v>
      </c>
      <c r="B46" s="10">
        <v>502971.35399999999</v>
      </c>
      <c r="C46" s="10">
        <v>2443909.5550000002</v>
      </c>
    </row>
    <row r="47" spans="1:7" x14ac:dyDescent="0.2">
      <c r="A47" s="1" t="s">
        <v>67</v>
      </c>
      <c r="B47" s="10">
        <v>503010.56900000002</v>
      </c>
      <c r="C47" s="10">
        <v>2443933.6409999998</v>
      </c>
    </row>
    <row r="48" spans="1:7" ht="28" x14ac:dyDescent="0.2">
      <c r="A48" s="1" t="s">
        <v>68</v>
      </c>
      <c r="B48" s="10">
        <v>502968.81300000002</v>
      </c>
      <c r="C48" s="10">
        <v>2443907.753</v>
      </c>
    </row>
  </sheetData>
  <mergeCells count="17">
    <mergeCell ref="B18:D18"/>
    <mergeCell ref="B19:D19"/>
    <mergeCell ref="B20:D20"/>
    <mergeCell ref="A1:G1"/>
    <mergeCell ref="A2:G2"/>
    <mergeCell ref="B17:D17"/>
    <mergeCell ref="A16:D16"/>
    <mergeCell ref="A8:D8"/>
    <mergeCell ref="B4:D4"/>
    <mergeCell ref="B3:D3"/>
    <mergeCell ref="B6:D6"/>
    <mergeCell ref="B5:D5"/>
    <mergeCell ref="A34:C34"/>
    <mergeCell ref="A25:D25"/>
    <mergeCell ref="B21:D21"/>
    <mergeCell ref="B22:D22"/>
    <mergeCell ref="B23:D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LTP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Ponti</cp:lastModifiedBy>
  <cp:revision>0</cp:revision>
  <dcterms:created xsi:type="dcterms:W3CDTF">2026-05-24T15:24:18Z</dcterms:created>
  <dcterms:modified xsi:type="dcterms:W3CDTF">2026-06-11T18:58:42Z</dcterms:modified>
  <dc:language>en-US</dc:language>
</cp:coreProperties>
</file>