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1"/>
  <workbookPr/>
  <mc:AlternateContent xmlns:mc="http://schemas.openxmlformats.org/markup-compatibility/2006">
    <mc:Choice Requires="x15">
      <x15ac:absPath xmlns:x15ac="http://schemas.microsoft.com/office/spreadsheetml/2010/11/ac" url="/Users/dponti/Documents/GitHub/rigid-inclusions/"/>
    </mc:Choice>
  </mc:AlternateContent>
  <xr:revisionPtr revIDLastSave="0" documentId="13_ncr:1_{C5A29782-1398-D44B-9E68-9E8C2D458DB3}" xr6:coauthVersionLast="47" xr6:coauthVersionMax="47" xr10:uidLastSave="{00000000-0000-0000-0000-000000000000}"/>
  <bookViews>
    <workbookView xWindow="51200" yWindow="620" windowWidth="38400" windowHeight="19680" tabRatio="500" activeTab="2" xr2:uid="{00000000-000D-0000-FFFF-FFFF00000000}"/>
  </bookViews>
  <sheets>
    <sheet name="1. Project Summary" sheetId="1" r:id="rId1"/>
    <sheet name="2. Soil Profile Parameters" sheetId="2" r:id="rId2"/>
    <sheet name="3. CMC Design Parameters" sheetId="3" r:id="rId3"/>
    <sheet name="4. Plate Load Tests" sheetId="4" r:id="rId4"/>
    <sheet name="5. Zone Load Test" sheetId="5" r:id="rId5"/>
    <sheet name="6. Pile Integrity Tests" sheetId="6" r:id="rId6"/>
    <sheet name="7. Concrete Compressive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72" i="7" l="1"/>
  <c r="B71" i="7"/>
  <c r="B69" i="7"/>
  <c r="B68" i="7"/>
  <c r="B67" i="7"/>
  <c r="B66" i="7"/>
  <c r="B65" i="7"/>
  <c r="B64" i="7"/>
  <c r="B63" i="7"/>
  <c r="B62" i="7"/>
</calcChain>
</file>

<file path=xl/sharedStrings.xml><?xml version="1.0" encoding="utf-8"?>
<sst xmlns="http://schemas.openxmlformats.org/spreadsheetml/2006/main" count="1292" uniqueCount="726">
  <si>
    <t>JAZEERA ROYAL PALACE 110/13.8 KV S/S - CMC FINAL TECHNICAL REPORT</t>
  </si>
  <si>
    <t>REPORT METADATA</t>
  </si>
  <si>
    <t>Document No.</t>
  </si>
  <si>
    <t>FMSA 24047-FTR-CMC</t>
  </si>
  <si>
    <t>Enquiry No.</t>
  </si>
  <si>
    <t>FMSA 24047</t>
  </si>
  <si>
    <t>Revision</t>
  </si>
  <si>
    <t>0</t>
  </si>
  <si>
    <t>Description</t>
  </si>
  <si>
    <t>First Issue</t>
  </si>
  <si>
    <t>Total Pages (main body)</t>
  </si>
  <si>
    <t>Issue Date</t>
  </si>
  <si>
    <t>17 March 2025</t>
  </si>
  <si>
    <t>Prepared By</t>
  </si>
  <si>
    <t>NM</t>
  </si>
  <si>
    <t>Checked By</t>
  </si>
  <si>
    <t>MM</t>
  </si>
  <si>
    <t>Approved By</t>
  </si>
  <si>
    <t>HH</t>
  </si>
  <si>
    <t>Contractor</t>
  </si>
  <si>
    <t>FREYSSINET MENARD SAUDI ARABIA</t>
  </si>
  <si>
    <t>Main Contractor</t>
  </si>
  <si>
    <t>NESMA INFRASTRUCTURE &amp; TECHNOLOGY</t>
  </si>
  <si>
    <t>Owner / Client</t>
  </si>
  <si>
    <t>National Grid / Saudi Electricity Company (SEC)</t>
  </si>
  <si>
    <t>Project Location</t>
  </si>
  <si>
    <t>Thuwal, Kingdom of Saudi Arabia</t>
  </si>
  <si>
    <t>Project Description</t>
  </si>
  <si>
    <t>Soil Improvement using Controlled Modulus Columns (CMC) for 110/13.8 KV Substation</t>
  </si>
  <si>
    <t>Reference Geotechnical Report</t>
  </si>
  <si>
    <t>GBL-GT-24136, Rev.0, June 2024</t>
  </si>
  <si>
    <t>Site Area</t>
  </si>
  <si>
    <t>70m × 60m = 4200 m²</t>
  </si>
  <si>
    <t>Expected Applied Load</t>
  </si>
  <si>
    <t>150 kPa</t>
  </si>
  <si>
    <t>PROJECT LEVELS</t>
  </si>
  <si>
    <t>Working Platform Level (EGL)</t>
  </si>
  <si>
    <t>+6.25 m</t>
  </si>
  <si>
    <t>Average Existing Ground Level (EGL) — Menard pre-CPTs</t>
  </si>
  <si>
    <t>+5.90 m</t>
  </si>
  <si>
    <t>Bottom of Boundary Wall Foundation</t>
  </si>
  <si>
    <t>+6.55 m</t>
  </si>
  <si>
    <t>Bottom of Building Foundation and TR Tunnels</t>
  </si>
  <si>
    <t>+6.85 m</t>
  </si>
  <si>
    <t>Bottom of Power Transformer Foundation</t>
  </si>
  <si>
    <t>+7.25 m</t>
  </si>
  <si>
    <t>Bottom of Auxiliary Tr Foundation</t>
  </si>
  <si>
    <t>+8.00 m</t>
  </si>
  <si>
    <t>Bottom of Shunt Reactor Foundation</t>
  </si>
  <si>
    <t>Bottom of Outdoor Equipment Foundation</t>
  </si>
  <si>
    <t>+7.75 m</t>
  </si>
  <si>
    <t>Average Water Table Level (WTL)</t>
  </si>
  <si>
    <t>+5.25 m</t>
  </si>
  <si>
    <t>Groundwater Depth (from N.G.L)</t>
  </si>
  <si>
    <t>0.65 to 0.75 m (per geotech report)</t>
  </si>
  <si>
    <t>SETTLEMENT &amp; BEARING CAPACITY CRITERIA</t>
  </si>
  <si>
    <t>Required Bearing Capacity</t>
  </si>
  <si>
    <t>150 kN/m²</t>
  </si>
  <si>
    <t>Allowable Settlement - Raft Foundation</t>
  </si>
  <si>
    <t>50 mm</t>
  </si>
  <si>
    <t>Allowable Settlement - Isolated Foundation</t>
  </si>
  <si>
    <t>25 mm</t>
  </si>
  <si>
    <t>Min. CMC Concrete Compressive Strength (28-day)</t>
  </si>
  <si>
    <t>25 MPa</t>
  </si>
  <si>
    <t>Min. LTP Young's Modulus (Ey)</t>
  </si>
  <si>
    <t>&gt; 65 MPa</t>
  </si>
  <si>
    <t>REFERENCE DOCUMENTS</t>
  </si>
  <si>
    <t>Ref. #</t>
  </si>
  <si>
    <t>Category</t>
  </si>
  <si>
    <t>Reference Description</t>
  </si>
  <si>
    <t>[1]</t>
  </si>
  <si>
    <t>Client's Documents</t>
  </si>
  <si>
    <t>GEOTECHNICAL INVESTIGATION FOR JAZERA ROYAL PALACE 110/13.8 KV S/S THUWAL – KSA, Report No. GBL-GT-24136, Rev.0, June 2024</t>
  </si>
  <si>
    <t>[2]</t>
  </si>
  <si>
    <t>CMC Design report document reference – FMSA-EN24313-TP</t>
  </si>
  <si>
    <t>[3]</t>
  </si>
  <si>
    <t>Drawings: General Plot Plan, Drawing No. WA 884920 - sheet No. 003 rev. no. 00, dated 2/5/2024</t>
  </si>
  <si>
    <t>[4]</t>
  </si>
  <si>
    <t>Standards &amp; Procedures</t>
  </si>
  <si>
    <t>THE SAUDI BUILDING CODE for SOILS and FOUNDATIONS, SBC 303 – CR, 2018</t>
  </si>
  <si>
    <t>[5]</t>
  </si>
  <si>
    <t>ASIRI. 2012. Recommendations for design, construction, and control of rigid inclusion ground improvements, Presses des Ponts</t>
  </si>
  <si>
    <t>[6]</t>
  </si>
  <si>
    <t>ASTM. American Society for Testing and Materials</t>
  </si>
  <si>
    <t>[7]</t>
  </si>
  <si>
    <t>BS 8006 (1995) Code of Practice for strengthened/reinforced soils and other fills</t>
  </si>
  <si>
    <t>[8]</t>
  </si>
  <si>
    <t>MENARD. Quality Assurance and Quality Control System &amp; Procedures</t>
  </si>
  <si>
    <t>[9]</t>
  </si>
  <si>
    <t>OHSAS 18001:2007. Occupational Health &amp; Safety Management System</t>
  </si>
  <si>
    <t>[10]</t>
  </si>
  <si>
    <t>ISO 14001:2004. Environmental Management System</t>
  </si>
  <si>
    <t>[11]</t>
  </si>
  <si>
    <t>Published References</t>
  </si>
  <si>
    <t>Bowles, J. E. (1997). Foundation Analysis and Design. – 5th Edition. McGraw-Hill</t>
  </si>
  <si>
    <t>[12]</t>
  </si>
  <si>
    <t>Das, B. M. (2007). Principles of Foundation Engineering. – 6th Edition. Thomson Learning</t>
  </si>
  <si>
    <t>[13]</t>
  </si>
  <si>
    <t>Jefferies, M. G., Davies, M. P. (1993). Use of CPTu to Estimate Equivalent SPT N60</t>
  </si>
  <si>
    <t>[14]</t>
  </si>
  <si>
    <t>Kulhawy, F. and Mayne, P. (1990). Manual on Estimating Soil Properties for Foundation Design</t>
  </si>
  <si>
    <t>[15]</t>
  </si>
  <si>
    <t>Lunne T., Robertson P.K., Powell J.J. M. (1997). Cone Penetration Testing in Geotechnical Practice</t>
  </si>
  <si>
    <t>[16]</t>
  </si>
  <si>
    <t>Robertson, P. K., Robertson, K. L. (2015). Guide to Cone Penetration Testing for Geotechnical Engineering. 6th Edition</t>
  </si>
  <si>
    <t>SOIL PROFILE &amp; DESIGN PARAMETERS (per area)</t>
  </si>
  <si>
    <t>TABLE 1: SOIL PARAMETERS FOR POWER TRANSFORMER DESIGN</t>
  </si>
  <si>
    <t>Layer No.</t>
  </si>
  <si>
    <t>Ey - Young's Modulus (kPa)</t>
  </si>
  <si>
    <t>γ - Unit Weight (kN/m³)</t>
  </si>
  <si>
    <t>c' - Cohesion (kPa)</t>
  </si>
  <si>
    <t>φ' - Internal Friction (°)</t>
  </si>
  <si>
    <t>υ - Poisson's Ratio</t>
  </si>
  <si>
    <t>LTP</t>
  </si>
  <si>
    <t>Fill material (working platform)</t>
  </si>
  <si>
    <t>Fill material</t>
  </si>
  <si>
    <t>Sabkha (Drained)</t>
  </si>
  <si>
    <t>Clean sand to silty sand</t>
  </si>
  <si>
    <t>Clayey silt to silty clay</t>
  </si>
  <si>
    <t>Silty sand</t>
  </si>
  <si>
    <t>Silty sand to sandy silt</t>
  </si>
  <si>
    <t>TABLE 2: SOIL PROFILE PARAMETERS FOR BUILDING FOUNDATION AND TR TUNNELS</t>
  </si>
  <si>
    <t>TABLE 3: SOIL PARAMETERS FOR BOUNDARY WALL, AUXILIARY TR, SHUNT REACTOR, OUTDOOR EQUIPMENT &amp; REMAINING AREA</t>
  </si>
  <si>
    <t>CPT-TO-YOUNG'S MODULUS CORRELATIONS</t>
  </si>
  <si>
    <t>Reference</t>
  </si>
  <si>
    <t>Lunne &amp; Christofferson (1983), Lunne et al (1997), Bowles (2001)</t>
  </si>
  <si>
    <t>Sandy soils (Rf ≤ 1.5%)</t>
  </si>
  <si>
    <t>Es = (2 to 4) × qc</t>
  </si>
  <si>
    <t>Silty soils (1.50 &lt; Rf &lt; 3%) — for qc ≤ 2.50 MPa</t>
  </si>
  <si>
    <t>Es = 2 × qc</t>
  </si>
  <si>
    <t>Silty soils (1.50 &lt; Rf &lt; 3%) — for 2.50 &lt; qc ≤ 12.50 MPa</t>
  </si>
  <si>
    <t>Es = 4 × qc + 5</t>
  </si>
  <si>
    <t>Silty soils (1.50 &lt; Rf &lt; 3%) — for qc &gt; 12.50 MPa</t>
  </si>
  <si>
    <t>Es = 2 × qc + 20</t>
  </si>
  <si>
    <t>Clays (Rf ≥ 3%)</t>
  </si>
  <si>
    <t>Es = (3 to 8) × qc</t>
  </si>
  <si>
    <t>CMC Modulus of Elasticity (ASIRI Clause 3.1.1.4)</t>
  </si>
  <si>
    <t>Ey = 3700 × fck^(1/3); fck (28-day) ≥ 25 MPa</t>
  </si>
  <si>
    <t>LEGEND:</t>
  </si>
  <si>
    <t>• Ey = Young's modulus of layer (kPa)</t>
  </si>
  <si>
    <t>• γ = Unit weight of layer (kN/m³)</t>
  </si>
  <si>
    <t>• c' = Effective cohesion (kPa)</t>
  </si>
  <si>
    <t>• φ' = Effective angle of internal friction (°)</t>
  </si>
  <si>
    <t>• υ = Poisson's ratio</t>
  </si>
  <si>
    <t>• LTP = Load Transfer Platform</t>
  </si>
  <si>
    <t>• Rf = Friction ratio</t>
  </si>
  <si>
    <t>• qc = CPT tip resistance</t>
  </si>
  <si>
    <t>CMC DESIGN CRITERIA &amp; PARAMETERS</t>
  </si>
  <si>
    <t>CMC DESIGN METHODOLOGY (per ASIRI 2012 / NF P94-261 / NF P94-262)</t>
  </si>
  <si>
    <t>Em : Pressure meter modulus</t>
  </si>
  <si>
    <t>Em = αM × EY  (where αM = Rheological factor from Sedran 2003, Briaud 1992, Baguelin 1978, French Standard D60)</t>
  </si>
  <si>
    <t>qb : Bearing capacity at CMC base (NF P94-262)</t>
  </si>
  <si>
    <t>qb = Kc × qc  (Kc = penetrometer bearing factor; qc = equivalent CPT tip resistance below CMC toe)</t>
  </si>
  <si>
    <t>Kq : Frank and Zhao factor for end bearing/toe</t>
  </si>
  <si>
    <t>Fine-grained soils: 11 | Coarse-grained soils: 4.8 (project case)</t>
  </si>
  <si>
    <t>qnet : Bearing capacity of soil around CMC (NF P94-261)</t>
  </si>
  <si>
    <t>qnet = Kc × qc = 0.1 × qc (varies based on formation level)</t>
  </si>
  <si>
    <t>De : Embedment depth</t>
  </si>
  <si>
    <t>Conservatively assumed = 0</t>
  </si>
  <si>
    <t>qs : Limit skin friction (NF P94-262)</t>
  </si>
  <si>
    <t>Function of CPT tip resistance (qc)</t>
  </si>
  <si>
    <t>KT : Frank and Zhao factor for friction</t>
  </si>
  <si>
    <t>Fine-grained soils: 2.0 | Coarse-grained soils: 0.8</t>
  </si>
  <si>
    <t>Ktanδ</t>
  </si>
  <si>
    <t>Component describing negative skin friction (NF P94-262)</t>
  </si>
  <si>
    <t>LTP requirement</t>
  </si>
  <si>
    <t>Well-compacted granular fill; Ey &gt; 65 MPa (compaction by Main Contractor)</t>
  </si>
  <si>
    <t>TABLE 4: CMC DESIGN PARAMETERS BY AREA</t>
  </si>
  <si>
    <t>Parameter</t>
  </si>
  <si>
    <t>Unit</t>
  </si>
  <si>
    <t>Building Raft and TR Tunnels</t>
  </si>
  <si>
    <t>Building Isolated Footing</t>
  </si>
  <si>
    <t>Septic Tank</t>
  </si>
  <si>
    <t>Power Transformer</t>
  </si>
  <si>
    <t>Remaining Area</t>
  </si>
  <si>
    <t>Outdoor Equipment</t>
  </si>
  <si>
    <t>Boundary Wall</t>
  </si>
  <si>
    <t>Auxiliary Tr</t>
  </si>
  <si>
    <t>Shunt Reactor</t>
  </si>
  <si>
    <t>CMC Diameter</t>
  </si>
  <si>
    <t>[m]</t>
  </si>
  <si>
    <t>Total Length</t>
  </si>
  <si>
    <t>Centre-to-Centre Grid Spacing</t>
  </si>
  <si>
    <t>[m by m]</t>
  </si>
  <si>
    <t>2 × 2</t>
  </si>
  <si>
    <t>1.80 × 1.80</t>
  </si>
  <si>
    <t>Pattern</t>
  </si>
  <si>
    <t>[-]</t>
  </si>
  <si>
    <t>Square</t>
  </si>
  <si>
    <t>NOTES:</t>
  </si>
  <si>
    <t>• Total length is expressed from the working platform level (varies from +6.5 to +6.7 m).</t>
  </si>
  <si>
    <t>• CMC Diameter: 600 mm (single value for all areas).</t>
  </si>
  <si>
    <t>• Minimum Concrete Compressive Strength: 25 MPa.</t>
  </si>
  <si>
    <t>• Load Transfer Platform (LTP) shall consist of well-compacted granular fill with Ey &gt; 65 MPa. LTP works done by Main Contractor.</t>
  </si>
  <si>
    <t>• Refusal criteria for installation: 5cm penetration over 2 consecutive minutes.</t>
  </si>
  <si>
    <t>• Auger diameter: 600 mm, closed at bottom with lost cap.</t>
  </si>
  <si>
    <t>CMC METHOD OF EXECUTION (Sequence of Works)</t>
  </si>
  <si>
    <t>Step 1</t>
  </si>
  <si>
    <t>Setting out of each future CMC</t>
  </si>
  <si>
    <t>Step 2a</t>
  </si>
  <si>
    <t>Driving the special auger into the soil to the desired depth by pushing on the tool and rotating it. Auger diameter is 600 mm, closed at its bottom with a lost cap. Drilling parameters monitored from cabin (drilling speed, depth, torque, etc.).</t>
  </si>
  <si>
    <t>Step 2b</t>
  </si>
  <si>
    <t>Before the required depth is reached, the feeding of cement mixture (or concrete) inside the special auger through the stem begins.</t>
  </si>
  <si>
    <t>Step 2c</t>
  </si>
  <si>
    <t>When the required depth is reached OR refusal criteria met (5cm penetration over 2 consecutive minutes), driving is stopped.</t>
  </si>
  <si>
    <t>Step 2d</t>
  </si>
  <si>
    <t>The auger is then extracted while cement mixture (or concrete) is fed through the stem. Extraction performed without unscrewing. Speed of extraction controlled via Machine Monitor to ensure good filling.</t>
  </si>
  <si>
    <t>Step 3</t>
  </si>
  <si>
    <t>Machine moves to next CMC location.</t>
  </si>
  <si>
    <t>APPENDIX 2: PLATE LOAD TEST RESULTS (PLT)</t>
  </si>
  <si>
    <t>PLT SUMMARY - SETTLEMENT AT DESIGN LOAD (per report Section 6.2)</t>
  </si>
  <si>
    <t>Test ID</t>
  </si>
  <si>
    <t>CMC Location</t>
  </si>
  <si>
    <t>Status</t>
  </si>
  <si>
    <t>PLT-201</t>
  </si>
  <si>
    <t>CMC-1043</t>
  </si>
  <si>
    <t>PASS (&lt; criteria)</t>
  </si>
  <si>
    <t>PLT-202</t>
  </si>
  <si>
    <t>CMC-80</t>
  </si>
  <si>
    <t>PLT-203</t>
  </si>
  <si>
    <t>CMC-666</t>
  </si>
  <si>
    <t>PLT-204</t>
  </si>
  <si>
    <t>CMC-942</t>
  </si>
  <si>
    <t>Note: Full detailed test data (time-stamped readings at multiple stress levels) included below for the three PLT test certificates available in the report appendix. PLT-203 (CMC-666) detailed certificate is referenced in the summary but not included as appendix data.</t>
  </si>
  <si>
    <t>PLT-201 / TEST NO. PLT-01 — PILE #1043 (per ASTM D-1194)</t>
  </si>
  <si>
    <t>Project</t>
  </si>
  <si>
    <t>CMC Piles for Al Jazeera Royal Palance</t>
  </si>
  <si>
    <t>Client</t>
  </si>
  <si>
    <t>Freyssinet Menard Saudi Arabia Ltd</t>
  </si>
  <si>
    <t>Location</t>
  </si>
  <si>
    <t>Thuwal - Al Jazeera Royal Palance, Kingdom of Saudi Arabia</t>
  </si>
  <si>
    <t>Test Location</t>
  </si>
  <si>
    <t>Pile no. 1043</t>
  </si>
  <si>
    <t>Test Date</t>
  </si>
  <si>
    <t>17-Dec-2024</t>
  </si>
  <si>
    <t>REF</t>
  </si>
  <si>
    <t>2024-6508</t>
  </si>
  <si>
    <t>Laboratory</t>
  </si>
  <si>
    <t>Applus+ (Building No. 7866, Inkas dist., Rabigh)</t>
  </si>
  <si>
    <t>Document #</t>
  </si>
  <si>
    <t>SAFCO-QSP-17 / F20 (Issue 01 Jan 2023)</t>
  </si>
  <si>
    <t>Plate Diameter</t>
  </si>
  <si>
    <t>45.72 cm</t>
  </si>
  <si>
    <t>Plate Weight</t>
  </si>
  <si>
    <t>36.68 kg</t>
  </si>
  <si>
    <t>Jack Capacity</t>
  </si>
  <si>
    <t>50.00 ton</t>
  </si>
  <si>
    <t>Jack Weight</t>
  </si>
  <si>
    <t>25.0 kg</t>
  </si>
  <si>
    <t>Stage</t>
  </si>
  <si>
    <t>Stress (kPa)</t>
  </si>
  <si>
    <t>Time</t>
  </si>
  <si>
    <t>Jack Reading (Bar)</t>
  </si>
  <si>
    <t>Dial Gage 1 (×10⁻²)</t>
  </si>
  <si>
    <t>Dial Gage 2 (×10⁻²)</t>
  </si>
  <si>
    <t>Dial Gage 3 (×10⁻²)</t>
  </si>
  <si>
    <t>Average (×10⁻²)</t>
  </si>
  <si>
    <t>Settlement (mm)</t>
  </si>
  <si>
    <t>Temp (°C)</t>
  </si>
  <si>
    <t>Loading</t>
  </si>
  <si>
    <t>10:25:00 AM</t>
  </si>
  <si>
    <t>10:28:00 AM</t>
  </si>
  <si>
    <t>10:31:00 AM</t>
  </si>
  <si>
    <t>10:34:00 AM</t>
  </si>
  <si>
    <t>10:37:00 AM</t>
  </si>
  <si>
    <t>10:40:00 AM</t>
  </si>
  <si>
    <t>10:43:00 AM</t>
  </si>
  <si>
    <t>10:46:00 AM</t>
  </si>
  <si>
    <t>10:49:00 AM</t>
  </si>
  <si>
    <t>10:52:00 AM</t>
  </si>
  <si>
    <t>10:55:00 AM</t>
  </si>
  <si>
    <t>10:58:00 AM</t>
  </si>
  <si>
    <t>11:01:00 AM</t>
  </si>
  <si>
    <t>11:04:00 AM</t>
  </si>
  <si>
    <t>11:07:00 AM</t>
  </si>
  <si>
    <t>11:10:00 AM</t>
  </si>
  <si>
    <t>11:13:00 AM</t>
  </si>
  <si>
    <t>11:16:00 AM</t>
  </si>
  <si>
    <t>11:19:00 AM</t>
  </si>
  <si>
    <t>11:22:00 AM</t>
  </si>
  <si>
    <t>11:25:00 AM</t>
  </si>
  <si>
    <t>11:28:00 AM</t>
  </si>
  <si>
    <t>11:31:00 AM</t>
  </si>
  <si>
    <t>11:34:00 AM</t>
  </si>
  <si>
    <t>11:37:00 AM</t>
  </si>
  <si>
    <t>11:40:00 AM</t>
  </si>
  <si>
    <t>11:43:00 AM</t>
  </si>
  <si>
    <t>11:46:00 AM</t>
  </si>
  <si>
    <t>11:49:00 AM</t>
  </si>
  <si>
    <t>11:52:00 AM</t>
  </si>
  <si>
    <t>11:55:00 AM</t>
  </si>
  <si>
    <t>11:58:00 AM</t>
  </si>
  <si>
    <t>12:01:00 PM</t>
  </si>
  <si>
    <t>12:04:00 PM</t>
  </si>
  <si>
    <t>12:07:00 PM</t>
  </si>
  <si>
    <t>12:10:00 PM</t>
  </si>
  <si>
    <t>12:13:00 PM</t>
  </si>
  <si>
    <t>12:28:00 PM</t>
  </si>
  <si>
    <t>12:43:00 PM</t>
  </si>
  <si>
    <t>12:58:00 PM</t>
  </si>
  <si>
    <t>1:13:00 PM</t>
  </si>
  <si>
    <t>Unloading</t>
  </si>
  <si>
    <t>1:16:00 PM</t>
  </si>
  <si>
    <t>1:19:00 PM</t>
  </si>
  <si>
    <t>1:22:00 PM</t>
  </si>
  <si>
    <t>1:25:00 PM</t>
  </si>
  <si>
    <t>1:28:00 PM</t>
  </si>
  <si>
    <t>1:31:00 PM</t>
  </si>
  <si>
    <t>1:34:00 PM</t>
  </si>
  <si>
    <t>1:37:00 PM</t>
  </si>
  <si>
    <t>1:40:00 PM</t>
  </si>
  <si>
    <t>1:43:00 PM</t>
  </si>
  <si>
    <t>1:46:00 PM</t>
  </si>
  <si>
    <t>1:49:00 PM</t>
  </si>
  <si>
    <t>1:52:00 PM</t>
  </si>
  <si>
    <t>1:55:00 PM</t>
  </si>
  <si>
    <t>1:58:00 PM</t>
  </si>
  <si>
    <t>Settlement Values - PLT-201 (Pile #1043)</t>
  </si>
  <si>
    <t>Stress Level</t>
  </si>
  <si>
    <t>Loading - 0 kPa</t>
  </si>
  <si>
    <t>Loading - 37.5 kPa</t>
  </si>
  <si>
    <t>Loading - 75 kPa</t>
  </si>
  <si>
    <t>Loading - 112.5 kPa</t>
  </si>
  <si>
    <t>Loading - 150 kPa (Design)</t>
  </si>
  <si>
    <t>Loading - 187.5 kPa</t>
  </si>
  <si>
    <t>Loading - 225 kPa (Max)</t>
  </si>
  <si>
    <t>Unloading - 150 kPa</t>
  </si>
  <si>
    <t>Unloading - 75 kPa</t>
  </si>
  <si>
    <t>Unloading - 0 kPa (Residual)</t>
  </si>
  <si>
    <t>PLT-202 / TEST NO. PLT-02 — PILE #80 (per ASTM D-1194)</t>
  </si>
  <si>
    <t>Pile no. 80</t>
  </si>
  <si>
    <t>2:10:00 PM</t>
  </si>
  <si>
    <t>2:13:00 PM</t>
  </si>
  <si>
    <t>2:16:00 PM</t>
  </si>
  <si>
    <t>2:19:00 PM</t>
  </si>
  <si>
    <t>2:22:00 PM</t>
  </si>
  <si>
    <t>2:25:00 PM</t>
  </si>
  <si>
    <t>2:28:00 PM</t>
  </si>
  <si>
    <t>2:31:00 PM</t>
  </si>
  <si>
    <t>2:34:00 PM</t>
  </si>
  <si>
    <t>2:37:00 PM</t>
  </si>
  <si>
    <t>2:40:00 PM</t>
  </si>
  <si>
    <t>2:43:00 PM</t>
  </si>
  <si>
    <t>2:46:00 PM</t>
  </si>
  <si>
    <t>2:49:00 PM</t>
  </si>
  <si>
    <t>2:52:00 PM</t>
  </si>
  <si>
    <t>2:55:00 PM</t>
  </si>
  <si>
    <t>2:58:00 PM</t>
  </si>
  <si>
    <t>3:01:00 PM</t>
  </si>
  <si>
    <t>3:04:00 PM</t>
  </si>
  <si>
    <t>3:07:00 PM</t>
  </si>
  <si>
    <t>3:10:00 PM</t>
  </si>
  <si>
    <t>3:13:00 PM</t>
  </si>
  <si>
    <t>3:16:00 PM</t>
  </si>
  <si>
    <t>3:19:00 PM</t>
  </si>
  <si>
    <t>3:22:00 PM</t>
  </si>
  <si>
    <t>3:25:00 PM</t>
  </si>
  <si>
    <t>3:28:00 PM</t>
  </si>
  <si>
    <t>3:31:00 PM</t>
  </si>
  <si>
    <t>3:34:00 PM</t>
  </si>
  <si>
    <t>3:37:00 PM</t>
  </si>
  <si>
    <t>3:40:00 PM</t>
  </si>
  <si>
    <t>3:43:00 PM</t>
  </si>
  <si>
    <t>3:46:00 PM</t>
  </si>
  <si>
    <t>3:49:00 PM</t>
  </si>
  <si>
    <t>3:52:00 PM</t>
  </si>
  <si>
    <t>3:55:00 PM</t>
  </si>
  <si>
    <t>3:58:00 PM</t>
  </si>
  <si>
    <t>4:13:00 PM</t>
  </si>
  <si>
    <t>4:28:00 PM</t>
  </si>
  <si>
    <t>4:43:00 PM</t>
  </si>
  <si>
    <t>4:58:00 PM</t>
  </si>
  <si>
    <t>5:01:00 PM</t>
  </si>
  <si>
    <t>5:04:00 PM</t>
  </si>
  <si>
    <t>5:07:00 PM</t>
  </si>
  <si>
    <t>5:10:00 PM</t>
  </si>
  <si>
    <t>5:13:00 PM</t>
  </si>
  <si>
    <t>5:16:00 PM</t>
  </si>
  <si>
    <t>5:19:00 PM</t>
  </si>
  <si>
    <t>5:22:00 PM</t>
  </si>
  <si>
    <t>5:25:00 PM</t>
  </si>
  <si>
    <t>5:28:00 PM</t>
  </si>
  <si>
    <t>5:31:00 PM</t>
  </si>
  <si>
    <t>5:34:00 PM</t>
  </si>
  <si>
    <t>5:37:00 PM</t>
  </si>
  <si>
    <t>5:40:00 PM</t>
  </si>
  <si>
    <t>5:43:00 PM</t>
  </si>
  <si>
    <t>Settlement Values - PLT-202 (Pile #80)</t>
  </si>
  <si>
    <t>PLT-204 / TEST NO. PLT-01 (different cert) — CMC-942 (per ASTM D-1194)</t>
  </si>
  <si>
    <t>Jazeera Palace Substation 110/13.8 KV</t>
  </si>
  <si>
    <t>NESMA INFRASTRUCTURE AND TECHNOLOGY</t>
  </si>
  <si>
    <t>15-Dec-2024</t>
  </si>
  <si>
    <t>RBG-QCR-24-02600</t>
  </si>
  <si>
    <t>Applus+ (different cert)</t>
  </si>
  <si>
    <t>SAFCO-QSP-17 / F20</t>
  </si>
  <si>
    <t>60.00 cm</t>
  </si>
  <si>
    <t>1000.00 kg/cm²</t>
  </si>
  <si>
    <t>Stress Units</t>
  </si>
  <si>
    <t>kg/cm² (note: different from PLT-201/202 which use kPa)</t>
  </si>
  <si>
    <t>Stress (kg/cm²)</t>
  </si>
  <si>
    <t>-</t>
  </si>
  <si>
    <t>10:38:00 AM</t>
  </si>
  <si>
    <t>10:41:00 AM</t>
  </si>
  <si>
    <t>10:44:00 AM</t>
  </si>
  <si>
    <t>10:47:00 AM</t>
  </si>
  <si>
    <t>10:50:00 AM</t>
  </si>
  <si>
    <t>10:53:00 AM</t>
  </si>
  <si>
    <t>10:56:00 AM</t>
  </si>
  <si>
    <t>10:59:00 AM</t>
  </si>
  <si>
    <t>11:02:00 AM</t>
  </si>
  <si>
    <t>11:05:00 AM</t>
  </si>
  <si>
    <t>11:08:00 AM</t>
  </si>
  <si>
    <t>11:11:00 AM</t>
  </si>
  <si>
    <t>11:14:00 AM</t>
  </si>
  <si>
    <t>11:17:00 AM</t>
  </si>
  <si>
    <t>11:20:00 AM</t>
  </si>
  <si>
    <t>11:23:00 AM</t>
  </si>
  <si>
    <t>11:26:00 AM</t>
  </si>
  <si>
    <t>11:29:00 AM</t>
  </si>
  <si>
    <t>11:32:00 AM</t>
  </si>
  <si>
    <t>11:35:00 AM</t>
  </si>
  <si>
    <t>11:38:00 AM</t>
  </si>
  <si>
    <t>11:41:00 AM</t>
  </si>
  <si>
    <t>11:44:00 AM</t>
  </si>
  <si>
    <t>11:47:00 AM</t>
  </si>
  <si>
    <t>11:50:00 AM</t>
  </si>
  <si>
    <t>11:53:00 AM</t>
  </si>
  <si>
    <t>11:56:00 AM</t>
  </si>
  <si>
    <t>11:59:00 AM</t>
  </si>
  <si>
    <t>12:02:00 PM</t>
  </si>
  <si>
    <t>12:20:00 PM</t>
  </si>
  <si>
    <t>12:35:00 PM</t>
  </si>
  <si>
    <t>12:50:00 PM</t>
  </si>
  <si>
    <t>1:05:00 PM</t>
  </si>
  <si>
    <t>1:20:00 PM</t>
  </si>
  <si>
    <t>1:35:00 PM</t>
  </si>
  <si>
    <t>1:38:00 PM</t>
  </si>
  <si>
    <t>1:41:00 PM</t>
  </si>
  <si>
    <t>1:44:00 PM</t>
  </si>
  <si>
    <t>1:47:00 PM</t>
  </si>
  <si>
    <t>1:50:00 PM</t>
  </si>
  <si>
    <t>1:53:00 PM</t>
  </si>
  <si>
    <t>1:56:00 PM</t>
  </si>
  <si>
    <t>1:59:00 PM</t>
  </si>
  <si>
    <t>2:02:00 PM</t>
  </si>
  <si>
    <t>2:05:00 PM</t>
  </si>
  <si>
    <t>2:08:00 PM</t>
  </si>
  <si>
    <t>2:11:00 PM</t>
  </si>
  <si>
    <t>2:14:00 PM</t>
  </si>
  <si>
    <t>2:17:00 PM</t>
  </si>
  <si>
    <t>2:20:00 PM</t>
  </si>
  <si>
    <t>Settlement Values - PLT-204 (CMC-942)</t>
  </si>
  <si>
    <t>Loading - 0.38 kg/cm² (~37.5 kPa)</t>
  </si>
  <si>
    <t>Loading - 0.75 kg/cm² (~75 kPa)</t>
  </si>
  <si>
    <t>Loading - 1.12 kg/cm² (~112.5 kPa)</t>
  </si>
  <si>
    <t>Loading - 1.50 kg/cm² (~150 kPa, Design)</t>
  </si>
  <si>
    <t>Loading - 1.87 kg/cm² (~187.5 kPa)</t>
  </si>
  <si>
    <t>Loading - 2.25 kg/cm² (~225 kPa, Max)</t>
  </si>
  <si>
    <t>Unloading - 1.50 kg/cm²</t>
  </si>
  <si>
    <t>Unloading - 0.75 kg/cm²</t>
  </si>
  <si>
    <t>Unloading - 0 (Residual)</t>
  </si>
  <si>
    <t>APPENDIX 3: ZONE LOAD TEST (ZLT-201) RESULTS</t>
  </si>
  <si>
    <t>ZLT-201 TEST PARAMETERS</t>
  </si>
  <si>
    <t>ZLT-201 (Sub Station Building)</t>
  </si>
  <si>
    <t>Report No.</t>
  </si>
  <si>
    <t>Job No: GC/10373JO/17823/24</t>
  </si>
  <si>
    <t>Gulf Consult (Geotechnical Division), Alkhobar, Saudi Arabia</t>
  </si>
  <si>
    <t>Saudi Water Authority (SWA)</t>
  </si>
  <si>
    <t>Al Jazeera Palace Sub Station Project</t>
  </si>
  <si>
    <t>Date of Test</t>
  </si>
  <si>
    <t>22-Dec-2024</t>
  </si>
  <si>
    <t>Report Date</t>
  </si>
  <si>
    <t>24/12/2024</t>
  </si>
  <si>
    <t>Test Foundation Size</t>
  </si>
  <si>
    <t>2.0 m × 2.0 m (Steel Test Plate)</t>
  </si>
  <si>
    <t>Soil Description / CMC Tested</t>
  </si>
  <si>
    <t>CMC #155, #156, #172, #173 (4 CMCs)</t>
  </si>
  <si>
    <t>Design Bearing Pressure</t>
  </si>
  <si>
    <t>Maximum Test Pressure (150% of design)</t>
  </si>
  <si>
    <t>225 kN/m²</t>
  </si>
  <si>
    <t>600 mm</t>
  </si>
  <si>
    <t>Number of Dial Gauges</t>
  </si>
  <si>
    <t>4 (calibrated, 0.01 mm accuracy, 100 mm capacity)</t>
  </si>
  <si>
    <t>Reference Beams</t>
  </si>
  <si>
    <t>2 (with 4 dial gauges mounted)</t>
  </si>
  <si>
    <t>ZLT-201: SUMMARY OF LOAD VERSUS SETTLEMENT READINGS (TABLE-1)</t>
  </si>
  <si>
    <t>% of Proposed Load</t>
  </si>
  <si>
    <t>Applied Pressure (kN/m²)</t>
  </si>
  <si>
    <t>Applied Load (kN)</t>
  </si>
  <si>
    <t>Average Total Settlement (mm)</t>
  </si>
  <si>
    <t>Actual Holding Time</t>
  </si>
  <si>
    <t>Stage / Remarks</t>
  </si>
  <si>
    <t>15 Minutes</t>
  </si>
  <si>
    <t>Loading Stage</t>
  </si>
  <si>
    <t>1 Hour</t>
  </si>
  <si>
    <t>Loading Stage (Design Load)</t>
  </si>
  <si>
    <t>2 Hours</t>
  </si>
  <si>
    <t>Loading Stage (Maximum Test Pressure)</t>
  </si>
  <si>
    <t>30 Minutes</t>
  </si>
  <si>
    <t>Unloading Stage</t>
  </si>
  <si>
    <t>Unloading Stage (Residual)</t>
  </si>
  <si>
    <t>ZLT-201: SUMMARY OF TEST RESULTS (TABLE-3)</t>
  </si>
  <si>
    <t>Test Number</t>
  </si>
  <si>
    <t>Settlement under 150 kN/m² (Design Bearing) - mm</t>
  </si>
  <si>
    <t>Settlement under 225 kN/m² (Max Applied = 150% Safe Bearing) - mm</t>
  </si>
  <si>
    <t>Residual Settlement (mm)</t>
  </si>
  <si>
    <t>ZLT1 - Station Building</t>
  </si>
  <si>
    <t>ZLT-201 CONCLUSION</t>
  </si>
  <si>
    <t>• No shear failure was observed up to the maximum test pressure of 225 kN/m².</t>
  </si>
  <si>
    <t>• Footing settlement at design pressure of 150 kN/m² is 3.360 mm (PASS - well below 50 mm allowable).</t>
  </si>
  <si>
    <t>• Footing settlement at maximum test pressure of 225 kN/m² is 6.290 mm.</t>
  </si>
  <si>
    <t>• Residual settlement is 4.510 mm.</t>
  </si>
  <si>
    <t>ZLT-201 TEST PROCEDURE NOTES</t>
  </si>
  <si>
    <t>• Precast concrete footing placed on test location.</t>
  </si>
  <si>
    <t>• After centering test plate, 4 calibrated dial gauges mounted on reference beams at 90° intervals, equidistant from sides of footing.</t>
  </si>
  <si>
    <t>• Load applied in 25% increments of safe bearing pressure of 38 kN/m² up to maximum test pressure of 225 kN/m².</t>
  </si>
  <si>
    <t>• Loading: 3 increments with 15-min holding time, 5 increments with 1-hour holding time, 2-hour at max.</t>
  </si>
  <si>
    <t>• Unloading: 4 decrements with 30-min holding time each; at zero load, 30 min holding to record rebound.</t>
  </si>
  <si>
    <t>• Settlement recorded immediately after each load increment/decrement, with additional readings at 0, 1.5, 3, 5, 15, 25, 30, 45 &amp; 60 minutes.</t>
  </si>
  <si>
    <t>• For longer holding durations, additional readings taken at 30-minute intervals.</t>
  </si>
  <si>
    <t>PIT REPORT INFORMATION</t>
  </si>
  <si>
    <t>21-Dec-2024</t>
  </si>
  <si>
    <t>3-Feb-2025</t>
  </si>
  <si>
    <t>Total Piles Tested (PIT Report)</t>
  </si>
  <si>
    <t>55 (50 detailed reflectograms included)</t>
  </si>
  <si>
    <t>Test Method</t>
  </si>
  <si>
    <t>Pile Integrity Test (PIT) - Low Strain Method</t>
  </si>
  <si>
    <t>Equipment</t>
  </si>
  <si>
    <t>PIT Collector device + 1 lb. hand-held hammer with integral cushion and accelerometer</t>
  </si>
  <si>
    <t>Wave Velocity Assumption</t>
  </si>
  <si>
    <t>4000 m/s (sound concrete)</t>
  </si>
  <si>
    <t>Pile Diameter</t>
  </si>
  <si>
    <t>60 cm (CMC)</t>
  </si>
  <si>
    <t>Pile Length Range</t>
  </si>
  <si>
    <t>10.0 m to 18.5 m</t>
  </si>
  <si>
    <t>Engineer / Checked By</t>
  </si>
  <si>
    <t>ALI ALKAAF</t>
  </si>
  <si>
    <t>Hammer Blows per Test</t>
  </si>
  <si>
    <t>3 blows averaged</t>
  </si>
  <si>
    <t>Number of Reflectograms</t>
  </si>
  <si>
    <t>DETAILED PIT RECORDS - ALL 50 PILES</t>
  </si>
  <si>
    <t>Sr. No.</t>
  </si>
  <si>
    <t>Pile No.</t>
  </si>
  <si>
    <t>Wave Velocity C (m/s)</t>
  </si>
  <si>
    <t>Amplitude (Amp)</t>
  </si>
  <si>
    <t>Frequency F</t>
  </si>
  <si>
    <t>Planned Length (m)</t>
  </si>
  <si>
    <t>Average (Avg)</t>
  </si>
  <si>
    <t>12/21/2024</t>
  </si>
  <si>
    <t>48</t>
  </si>
  <si>
    <t>PIT CONCLUSION</t>
  </si>
  <si>
    <t>• Fifty-five (55) cast-in-situ CMC piles tested using Pile Integrity Tester device.</t>
  </si>
  <si>
    <t>• Test results show wave velocity from pile top to its toe against depth below pile top.</t>
  </si>
  <si>
    <t>• Sound concrete wave velocity assumed: 4000 m/s.</t>
  </si>
  <si>
    <t>• Any deviation of the plot from a sound pile (straight line) indicates presence of changes in cross-sectional area or cracks.</t>
  </si>
  <si>
    <t>• Test purpose: indicate pile integrity, identify cracks or major reduction in cross-sectional area.</t>
  </si>
  <si>
    <t>• Note: At time of testing, several CMC heads were not exposed (under backfilling) or not leveled — see field notes in PIT report.</t>
  </si>
  <si>
    <t>• Note: Some piles had not reached 7th day age at time of test.</t>
  </si>
  <si>
    <t>APPENDIX 5: CONCRETE COMPRESSIVE TEST RESULTS - CYLINDER TESTS FOR CMC</t>
  </si>
  <si>
    <t>CYLINDER TEST RESULTS FOR CMC - SUMMARY INFO</t>
  </si>
  <si>
    <t>Construction of Jazera Royal Palace 110/13.8 kV Substation Thuwal</t>
  </si>
  <si>
    <t>Test Type</t>
  </si>
  <si>
    <t>Cylinder Compressive Test</t>
  </si>
  <si>
    <t>Specimen Type</t>
  </si>
  <si>
    <t>Concrete Cylinder</t>
  </si>
  <si>
    <t>Number of Batches</t>
  </si>
  <si>
    <t>41 batches</t>
  </si>
  <si>
    <t>Total Number of CMCs Tested</t>
  </si>
  <si>
    <t>1,021 CMCs (sum of all batches)</t>
  </si>
  <si>
    <t>Test Ages</t>
  </si>
  <si>
    <t>7 Days and 28 Days</t>
  </si>
  <si>
    <t>Minimum Required Compressive Strength (per design)</t>
  </si>
  <si>
    <t>25 MPa (N/mm²)</t>
  </si>
  <si>
    <t>Test Period (Casting Dates)</t>
  </si>
  <si>
    <t>14-Oct-2024 to 16-Dec-2024</t>
  </si>
  <si>
    <t>Test Period (28-day Testing)</t>
  </si>
  <si>
    <t>11-Nov-2024 to 13-Jan-2025</t>
  </si>
  <si>
    <t>DETAILED CONCRETE COMPRESSIVE TEST RESULTS - ALL 41 BATCHES</t>
  </si>
  <si>
    <t>S. No.</t>
  </si>
  <si>
    <t>CMC ID Numbers</t>
  </si>
  <si>
    <t>No. of CMC Cast</t>
  </si>
  <si>
    <t>Date of Casting</t>
  </si>
  <si>
    <t>7-Day Test Date</t>
  </si>
  <si>
    <t>28-Day Test Date</t>
  </si>
  <si>
    <t>7-Day Strength (N/mm²)</t>
  </si>
  <si>
    <t>28-Day Strength (N/mm²)</t>
  </si>
  <si>
    <t>Result</t>
  </si>
  <si>
    <t>386, 415, 417, 419, 421, 423, 827, 828 and 859</t>
  </si>
  <si>
    <t>14-Oct-24</t>
  </si>
  <si>
    <t>21-Oct-24</t>
  </si>
  <si>
    <t>11-Nov-24</t>
  </si>
  <si>
    <t>PASS</t>
  </si>
  <si>
    <t>387, 388, 389, 390, 665, 666, 676, 686, 696, 812, 813, 814, 815, 820, 821, 822, 823, 829, 830, 842, 855, 856 and 857</t>
  </si>
  <si>
    <t>15-Oct-24</t>
  </si>
  <si>
    <t>22-Oct-24</t>
  </si>
  <si>
    <t>12-Nov-24</t>
  </si>
  <si>
    <t>684</t>
  </si>
  <si>
    <t>16-Oct-24</t>
  </si>
  <si>
    <t>23-Oct-24</t>
  </si>
  <si>
    <t>13-Nov-24</t>
  </si>
  <si>
    <t>391, 392, 393, 394, 395, 396, 397, 658, 659, 660, 661, 662, 663, 664, 669, 670, 671, 672, 673, 674, 675, 679, 680, 681, 682, 683, 685, 690, 691, 692, 693, 694, 695, 836, 837, 838, 839, 840 and 841</t>
  </si>
  <si>
    <t>17-Oct-24</t>
  </si>
  <si>
    <t>24-Oct-24</t>
  </si>
  <si>
    <t>14-Nov-24</t>
  </si>
  <si>
    <t>398, 399, 657, 667, 668, 677, 678, 687, 799, 688, 689, 833, 834 and 835</t>
  </si>
  <si>
    <t>28-Oct-24</t>
  </si>
  <si>
    <t>18-Nov-24</t>
  </si>
  <si>
    <t>400, 401, 402, 403, 404, 405, 763, 765, 769, 770, 775, 776, 777, 778, 781, 782, 783, 784, 787, 788, 789, 790, 793, 794, 795, 796, 800, 801, 802, 850, 851, 852, 853 and 854</t>
  </si>
  <si>
    <t>29-Oct-24</t>
  </si>
  <si>
    <t>19-Nov-24</t>
  </si>
  <si>
    <t>409, 410, 411, 466, 468, 470, 472, 474, 735, 736, 739, 740, 744, 745, 746, 749, 750, 754, 843, 844 and 858</t>
  </si>
  <si>
    <t>30-Oct-24</t>
  </si>
  <si>
    <t>20-Nov-24</t>
  </si>
  <si>
    <t>406, 407, 408, 737, 738, 741, 742, 743, 747, 748, 751, 752, 753, 757, 758, 759, 760, 764, 845, 846, 847 and 848</t>
  </si>
  <si>
    <t>31-Oct-24</t>
  </si>
  <si>
    <t>21-Nov-24</t>
  </si>
  <si>
    <t>607, 608, 609, 610, 611, 612, 613, 614, 617, 618, 619, 620, 621, 622, 623, 627, 628, 629, 630, 631, 632, 633, 637, 638, 639, 640, 641, 642, 643, 647, 648, 649, 650, 651, 652, 653, 766, 771, 772, 776, 779, 780, 785, 786, 791, 792, 797, 798, 804, 805, 806, 807 and 849</t>
  </si>
  <si>
    <t>26-Oct-24</t>
  </si>
  <si>
    <t>2-Nov-24</t>
  </si>
  <si>
    <t>23-Nov-24</t>
  </si>
  <si>
    <t>422, 425, 424, 426, 428, 430, 431, and 982</t>
  </si>
  <si>
    <t>4-Nov-24</t>
  </si>
  <si>
    <t>25-Nov-24</t>
  </si>
  <si>
    <t>427, 429, 615, 616, 624, 625, 626, 634, 635, 636, 644, 645, 646, 654, 655, 656, 808, 809, 810, 811, 816, 817, 818, 819, 824, 825, 826, 899, 900, 901, 983 and 984</t>
  </si>
  <si>
    <t>5-Nov-24</t>
  </si>
  <si>
    <t>26-Nov-24</t>
  </si>
  <si>
    <t>475, 477, 479, 481, 483, 484 and 485</t>
  </si>
  <si>
    <t>6-Nov-24</t>
  </si>
  <si>
    <t>27-Nov-24</t>
  </si>
  <si>
    <t>308, 309, 310, 311, 476, 478, 480, 482, 697, 718, 720, 721, 722, 724, 725, 726, 727, 729, 730, 731, 732 and 734</t>
  </si>
  <si>
    <t>7-Nov-24</t>
  </si>
  <si>
    <t>28-Nov-24</t>
  </si>
  <si>
    <t>1, 2, 372, 373, 374, 375, 376, 377, 378, 379, 380, 381, 382, 383, 384, 385, 464, 465, 467, 469, 471, 473, 723, 728, 733, 755, 756, 761, 762, 767, 768, 773, 774, 803, 1097, 1098 and 1099</t>
  </si>
  <si>
    <t>9-Nov-24</t>
  </si>
  <si>
    <t>30-Nov-24</t>
  </si>
  <si>
    <t>360, 361, 362, 363, 364, 365, 366, 367, 368, 369, 370, 371, 412, 413, 414, 416, 418, 420, 437, 439, 440, 937, 938, 939, 941, 942, 943, 947, 949, 950, 951, 957 and 959</t>
  </si>
  <si>
    <t>3-Nov-24</t>
  </si>
  <si>
    <t>10-Nov-24</t>
  </si>
  <si>
    <t>1-Dec-24</t>
  </si>
  <si>
    <t>435, 441, 486, 487, 488, 489, 490, 491, 492, 493, 698, 699, 700, 701, 933, 934, 935, 958, 971, 1070, 1075, 1076, 1077</t>
  </si>
  <si>
    <t>2-Dec-24</t>
  </si>
  <si>
    <t>3, 5, 7, 9, 10, 11, 13, 17, 19, 21, 33, 35, 37, 39, 358, 359, 452, 454, 456, 457, 458, 459, 460, 461, 462, 463, 534, 535, 560, 561, 589, 591, 592, 860, 902, 903, 908, 909, 1083, 1087 and 1089</t>
  </si>
  <si>
    <t>3-Dec-24</t>
  </si>
  <si>
    <t>18, 23, 25, 27, 29, 31, 41, 43, 45, 47, 49, 55, 57, 59, 61, 63, 65, 69, 71, 73, 75, 77, 79, 81, 83, 432, 434, 960, 963, 964, 967, 968, 972, 979, 980 and 981</t>
  </si>
  <si>
    <t>4-Dec-24</t>
  </si>
  <si>
    <t>92, 94, 96, 98, 100, 110, 112, 114, 116, 127, 128, 130, 132, 134, 144, 146, 148, 150, 944, 948, 952, 974, 975, 976 and 977</t>
  </si>
  <si>
    <t>5-Dec-24</t>
  </si>
  <si>
    <t>91, 93, 107, 109, 125, 141, 143, 318, 327, 330, 536, 537, 538, 539, 540, 541, 543, 546, 562, 563, 564, 565, 566, 567, 569, 571, 599, 831, 861, 863, 865, 877, 878, 879, 880 and 916</t>
  </si>
  <si>
    <t>16-Nov-24</t>
  </si>
  <si>
    <t>7-Dec-24</t>
  </si>
  <si>
    <t>24, 26, 28, 30, 32, 40, 42, 44, 46, 48, 433, 961, 962, 965, 966, 969 and 970</t>
  </si>
  <si>
    <t>17-Dec-24</t>
  </si>
  <si>
    <t>20, 131, 133, 149, 151, 165, 166, 167, 168, 181, 182, 183, 184, 185, 442, 929, 930, 931, 932, 936, 940, 973 and 1095</t>
  </si>
  <si>
    <t>19-Dec-24</t>
  </si>
  <si>
    <t>4, 6, 8, 12, 14, 15, 16, 22, 34, 36, 38, 66, 82, 117, 436, 438, 945, 946, 953, 954, 955, 956, 978, 1082, 1088 and 1093</t>
  </si>
  <si>
    <t>21-Dec-24</t>
  </si>
  <si>
    <t>54, 56, 58, 60, 62, 64, 72, 74, 76, 78, 80, 88, 89, 90, 95, 97, 99, 105, 106, 108, 111, 113 and 115</t>
  </si>
  <si>
    <t>24-Nov-24</t>
  </si>
  <si>
    <t>22-Dec-24</t>
  </si>
  <si>
    <t>50, 51, 52, 53, 67, 68, 70, 84, 85, 86, 87, 101, 102, 103, 104, 1060, 1061, 1062, 1063, 1064, 1065, 1066, 1067, 1068, 1069, 1071, 1072, 1073, 1074 and 1078</t>
  </si>
  <si>
    <t>23-Dec-24</t>
  </si>
  <si>
    <t>123, 124, 126, 129, 140, 142, 145, 147, 157, 158, 159, 160, 161, 162, 163, 164, 173, 174, 175, 176, 177, 178, 179, 180, 494, 495, 496, 497, 702 and 703</t>
  </si>
  <si>
    <t>24-Dec-24</t>
  </si>
  <si>
    <t>118, 119, 120, 121, 122, 135, 136, 137, 138, 139, 152, 153, 154, 155, 156, 169, 170, 171, 172, 542, 544, 545, 547, 568, 570, 572, 573, 600, 601, 832, 862, 864, 866, 867, 868, 869, 870, 871, 1041, 1042, 1043, 1044, 1047, 1048, 1049, 1052, 1053, 1054, 1057, 1058 and 1059</t>
  </si>
  <si>
    <t>25-Dec-24</t>
  </si>
  <si>
    <t>344, 443, 444, 445, 498, 499, 500, 501, 502, 503, 504, 505, 704, 705, 706, 707, 917, 918, 919, 920, 921, 922, 923, 924, 925, 926, 927, 928, 1035, 1036, 1037, 1038, 1039, 1040, 1045, 1046, 1050, 1051, 1055 and 1056</t>
  </si>
  <si>
    <t>26-Dec-24</t>
  </si>
  <si>
    <t>186, 188, 190, 192, 194, 196, 198, 201, 203, 205, 207, 209, 212, 214, 216, 218, 220, 222, 223, 225, 227, 229, 231, 233, 312, 321, 343, 346, 347, 357, 896, 1019, 1023, 1029, 1033 and 1096</t>
  </si>
  <si>
    <t>28-Dec-24</t>
  </si>
  <si>
    <t>446, 449, 450, 453, 507, 508, 511, 512, 586, 588, 708, 710, 905, 907, 910, 912, 1015, 1017, 1021, 1025, 1027 and 1031</t>
  </si>
  <si>
    <t>8-Dec-24</t>
  </si>
  <si>
    <t>29-Dec-24</t>
  </si>
  <si>
    <t>236, 242, 244, 246, 247, 255, 257, 266, 268, 270, 271, 279, 281, 316, 323, 324, 325, 331, 337, 340, 341, 892 and 894</t>
  </si>
  <si>
    <t>9-Dec-24</t>
  </si>
  <si>
    <t>30-Dec-24</t>
  </si>
  <si>
    <t>238, 240, 249, 251, 253, 260, 262, 264, 273, 275, 277, 319, 332, 455, 590, 913, 915, 994, 995, 997, 1001, 1003, 1004, 1007, 1011 and 1013</t>
  </si>
  <si>
    <t>10-Dec-24</t>
  </si>
  <si>
    <t>31-Dec-24</t>
  </si>
  <si>
    <t>285, 287, 289, 290, 291, 292, 301, 303, 305, 306, 307, 326, 328, 329, 333, 335, 336, 355, 356, 593, 594, 596, 598, 873, 875, 881, 883, 895, 898 and 914</t>
  </si>
  <si>
    <t>11-Dec-24</t>
  </si>
  <si>
    <t>1-Jan-25</t>
  </si>
  <si>
    <t>526, 527, 528, 529, 531, 532, 533, 548, 550, 552, 554, 556, 558, 575, 577, 579, 581, 583, 585, 595, 597, 602, 604, 719, 874, 882, 885, 887 and 889</t>
  </si>
  <si>
    <t>12-Dec-24</t>
  </si>
  <si>
    <t>2-Jan-25</t>
  </si>
  <si>
    <t>189, 191, 193, 195, 197, 199, 204, 206, 208, 210, 211, 217, 219, 221, 228, 230, 232, 234, 235, 313, 315, 320, 322, 345, 348, 349, 350, 447, 897 and 904</t>
  </si>
  <si>
    <t>15-Dec-24</t>
  </si>
  <si>
    <t>5-Jan-25</t>
  </si>
  <si>
    <t>187, 200, 202, 213, 215, 224, 226, 506, 509, 510, 513, 514, 517, 518, 521, 709, 711, 713, 715, 1010, 1012, 1014, 1016, 1018, 1020, 1022, 1024, 1026, 1028, 1030, 1032 and 1034</t>
  </si>
  <si>
    <t>16-Dec-24</t>
  </si>
  <si>
    <t>6-Jan-25</t>
  </si>
  <si>
    <t>245, 258, 259, 269, 282, 314, 317, 334, 338, 339, 342, 351, 352, 353, 354, 448, 451, 587, 891, 893, 906 and 911</t>
  </si>
  <si>
    <t>7-Jan-25</t>
  </si>
  <si>
    <t>237, 239, 241, 243, 248, 250, 252, 254, 256, 261, 263, 265, 267, 272, 274, 276, 278, 280, 515, 516, 519, 990, 992, 996, 1005 and 1008</t>
  </si>
  <si>
    <t>18-Dec-24</t>
  </si>
  <si>
    <t>8-Jan-25</t>
  </si>
  <si>
    <t>294, 297, 520, 522, 525, 603, 605, 606, 712, 714, 717, 872, 985, 987, 988, 991, 993, 998, 999, 1000, 1002, 1006 and 1009</t>
  </si>
  <si>
    <t>9-Jan-25</t>
  </si>
  <si>
    <t>284, 288, 296, 298, 300, 530, 551, 553, 555, 557, 559, 576, 578, 580, 582, 584, 876, 884, 886, 888, 890 and 989</t>
  </si>
  <si>
    <t>14-Dec-24</t>
  </si>
  <si>
    <t>11-Jan-25</t>
  </si>
  <si>
    <t>283, 286, 293, 295, 299, 302, 304, 523, 524, 549, 574, 716 and 986</t>
  </si>
  <si>
    <t>13-Jan-25</t>
  </si>
  <si>
    <t>STATISTICS SUMMARY</t>
  </si>
  <si>
    <t>Metric</t>
  </si>
  <si>
    <t>Value</t>
  </si>
  <si>
    <t>Total CMCs Cast (sum of all batches)</t>
  </si>
  <si>
    <t>Total Number of Batches</t>
  </si>
  <si>
    <t>Average 7-Day Strength (N/mm²)</t>
  </si>
  <si>
    <t>Minimum 7-Day Strength (N/mm²)</t>
  </si>
  <si>
    <t>Maximum 7-Day Strength (N/mm²)</t>
  </si>
  <si>
    <t>Average 28-Day Strength (N/mm²)</t>
  </si>
  <si>
    <t>Minimum 28-Day Strength (N/mm²)</t>
  </si>
  <si>
    <t>Maximum 28-Day Strength (N/mm²)</t>
  </si>
  <si>
    <t>Required Min Strength (Design)</t>
  </si>
  <si>
    <t>Number of Batches PASSING</t>
  </si>
  <si>
    <t>Number of Batches FAILING</t>
  </si>
  <si>
    <t>12/21/2026</t>
  </si>
  <si>
    <t>APPENDIX 4: PILE INTEGRITY TEST (PIT) RESULTS - 55 PILES</t>
  </si>
  <si>
    <t>55 individual pile records</t>
  </si>
  <si>
    <t>PLT-203 / TEST NO. PLT-01 (different cert) — CMC-317 (per ASTM D-1194)</t>
  </si>
  <si>
    <t>RBG-QCR-24-02450</t>
  </si>
  <si>
    <t>CMC-317</t>
  </si>
  <si>
    <t>Settlement Values - PLT-203 (CMC-317)</t>
  </si>
  <si>
    <t>`</t>
  </si>
  <si>
    <t>Loading - 3.00kg/cm² (~225 kPa, Max)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</si>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</sst>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charset val="1"/>
    </font>
    <font>
      <b/>
      <sz val="14"/>
      <color rgb="FFFFFFFF"/>
      <name val="Arial"/>
      <family val="2"/>
    </font>
    <font>
      <b/>
      <sz val="12"/>
      <color rgb="FFFFFFFF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1"/>
      <name val="Arial"/>
      <family val="2"/>
    </font>
    <font>
      <i/>
      <sz val="10"/>
      <name val="Arial"/>
      <family val="2"/>
    </font>
    <font>
      <i/>
      <sz val="9"/>
      <name val="Arial"/>
      <family val="2"/>
    </font>
    <font>
      <b/>
      <sz val="10"/>
      <color rgb="FFC00000"/>
      <name val="Arial"/>
      <family val="2"/>
    </font>
    <font>
      <b/>
      <sz val="11"/>
      <color rgb="FFC00000"/>
      <name val="Arial"/>
      <family val="2"/>
    </font>
    <font>
      <b/>
      <sz val="10"/>
      <color rgb="FF006100"/>
      <name val="Arial"/>
      <family val="2"/>
    </font>
    <font>
      <b/>
      <sz val="11"/>
      <color rgb="FF1F4E78"/>
      <name val="Arial"/>
      <family val="2"/>
    </font>
    <font>
      <sz val="8"/>
      <name val="Calibri"/>
      <family val="2"/>
      <charset val="1"/>
    </font>
  </fonts>
  <fills count="8">
    <fill>
      <patternFill patternType="none"/>
    </fill>
    <fill>
      <patternFill patternType="gray125"/>
    </fill>
    <fill>
      <patternFill patternType="solid">
        <fgColor rgb="FF305496"/>
        <bgColor rgb="FF1F4E78"/>
      </patternFill>
    </fill>
    <fill>
      <patternFill patternType="solid">
        <fgColor rgb="FF1F4E78"/>
        <bgColor rgb="FF305496"/>
      </patternFill>
    </fill>
    <fill>
      <patternFill patternType="solid">
        <fgColor rgb="FFD9E1F2"/>
        <bgColor rgb="FFF2F2F2"/>
      </patternFill>
    </fill>
    <fill>
      <patternFill patternType="solid">
        <fgColor rgb="FFF2F2F2"/>
        <bgColor rgb="FFFFFFFF"/>
      </patternFill>
    </fill>
    <fill>
      <patternFill patternType="solid">
        <fgColor rgb="FFFFF2CC"/>
        <bgColor rgb="FFF2F2F2"/>
      </patternFill>
    </fill>
    <fill>
      <patternFill patternType="solid">
        <fgColor theme="0" tint="-4.9989318521683403E-2"/>
        <bgColor indexed="64"/>
      </patternFill>
    </fill>
  </fills>
  <borders count="6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/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/>
      <bottom style="thin">
        <color rgb="FF808080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4" fillId="0" borderId="1" xfId="0" applyFont="1" applyBorder="1" applyAlignment="1">
      <alignment horizontal="center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left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9" fillId="6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14" fontId="4" fillId="0" borderId="1" xfId="0" applyNumberFormat="1" applyFont="1" applyBorder="1" applyAlignment="1">
      <alignment horizontal="center" vertical="center" wrapText="1"/>
    </xf>
    <xf numFmtId="19" fontId="4" fillId="0" borderId="1" xfId="0" applyNumberFormat="1" applyFont="1" applyBorder="1" applyAlignment="1">
      <alignment horizontal="center" vertical="center" wrapText="1"/>
    </xf>
    <xf numFmtId="19" fontId="4" fillId="7" borderId="1" xfId="0" applyNumberFormat="1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3" fillId="0" borderId="0" xfId="0" applyFont="1"/>
    <xf numFmtId="0" fontId="6" fillId="0" borderId="0" xfId="0" applyFont="1"/>
    <xf numFmtId="0" fontId="6" fillId="0" borderId="0" xfId="0" applyFont="1" applyAlignment="1">
      <alignment wrapText="1"/>
    </xf>
    <xf numFmtId="0" fontId="4" fillId="0" borderId="1" xfId="0" applyFont="1" applyBorder="1" applyAlignment="1">
      <alignment horizontal="center" vertical="center" wrapText="1"/>
    </xf>
    <xf numFmtId="0" fontId="7" fillId="0" borderId="0" xfId="0" applyFont="1" applyAlignment="1">
      <alignment wrapText="1"/>
    </xf>
    <xf numFmtId="0" fontId="8" fillId="0" borderId="1" xfId="0" applyFont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left" vertical="center" wrapText="1"/>
    </xf>
    <xf numFmtId="0" fontId="3" fillId="4" borderId="4" xfId="0" applyFont="1" applyFill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left" vertical="center" wrapText="1"/>
    </xf>
    <xf numFmtId="0" fontId="4" fillId="0" borderId="4" xfId="0" applyFont="1" applyBorder="1" applyAlignment="1">
      <alignment horizontal="left" vertical="center" wrapText="1"/>
    </xf>
    <xf numFmtId="15" fontId="4" fillId="0" borderId="1" xfId="0" applyNumberFormat="1" applyFont="1" applyBorder="1" applyAlignment="1">
      <alignment horizontal="left" vertical="center" wrapText="1"/>
    </xf>
    <xf numFmtId="0" fontId="4" fillId="0" borderId="0" xfId="0" applyFont="1" applyAlignment="1">
      <alignment wrapText="1"/>
    </xf>
    <xf numFmtId="0" fontId="11" fillId="6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61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F2F2F2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4E78"/>
      <rgbColor rgb="FF339966"/>
      <rgbColor rgb="FF003300"/>
      <rgbColor rgb="FF333300"/>
      <rgbColor rgb="FF993300"/>
      <rgbColor rgb="FF993366"/>
      <rgbColor rgb="FF305496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8"/>
  <sheetViews>
    <sheetView showGridLines="0" zoomScale="130" zoomScaleNormal="130" workbookViewId="0">
      <pane ySplit="2" topLeftCell="A54" activePane="bottomLeft" state="frozen"/>
      <selection pane="bottomLeft" activeCell="C66" sqref="C66"/>
    </sheetView>
  </sheetViews>
  <sheetFormatPr baseColWidth="10" defaultColWidth="8.6640625" defaultRowHeight="15" x14ac:dyDescent="0.2"/>
  <cols>
    <col min="1" max="1" width="38" customWidth="1"/>
    <col min="2" max="2" width="25" customWidth="1"/>
    <col min="3" max="3" width="30" customWidth="1"/>
    <col min="4" max="6" width="20" customWidth="1"/>
  </cols>
  <sheetData>
    <row r="1" spans="1:6" ht="30" customHeight="1" x14ac:dyDescent="0.2">
      <c r="A1" s="14" t="s">
        <v>0</v>
      </c>
      <c r="B1" s="14"/>
      <c r="C1" s="14"/>
      <c r="D1" s="14"/>
      <c r="E1" s="14"/>
      <c r="F1" s="14"/>
    </row>
    <row r="3" spans="1:6" ht="15" customHeight="1" x14ac:dyDescent="0.2">
      <c r="A3" s="15" t="s">
        <v>1</v>
      </c>
      <c r="B3" s="15"/>
      <c r="C3" s="15"/>
      <c r="D3" s="15"/>
      <c r="E3" s="15"/>
      <c r="F3" s="15"/>
    </row>
    <row r="4" spans="1:6" ht="15" customHeight="1" x14ac:dyDescent="0.2">
      <c r="A4" s="2" t="s">
        <v>2</v>
      </c>
      <c r="B4" s="16" t="s">
        <v>3</v>
      </c>
      <c r="C4" s="16"/>
      <c r="D4" s="16"/>
      <c r="E4" s="16"/>
      <c r="F4" s="16"/>
    </row>
    <row r="5" spans="1:6" ht="15" customHeight="1" x14ac:dyDescent="0.2">
      <c r="A5" s="2" t="s">
        <v>4</v>
      </c>
      <c r="B5" s="16" t="s">
        <v>5</v>
      </c>
      <c r="C5" s="16"/>
      <c r="D5" s="16"/>
      <c r="E5" s="16"/>
      <c r="F5" s="16"/>
    </row>
    <row r="6" spans="1:6" ht="15" customHeight="1" x14ac:dyDescent="0.2">
      <c r="A6" s="2" t="s">
        <v>6</v>
      </c>
      <c r="B6" s="16" t="s">
        <v>7</v>
      </c>
      <c r="C6" s="16"/>
      <c r="D6" s="16"/>
      <c r="E6" s="16"/>
      <c r="F6" s="16"/>
    </row>
    <row r="7" spans="1:6" ht="15" customHeight="1" x14ac:dyDescent="0.2">
      <c r="A7" s="2" t="s">
        <v>8</v>
      </c>
      <c r="B7" s="16" t="s">
        <v>9</v>
      </c>
      <c r="C7" s="16"/>
      <c r="D7" s="16"/>
      <c r="E7" s="16"/>
      <c r="F7" s="16"/>
    </row>
    <row r="8" spans="1:6" x14ac:dyDescent="0.2">
      <c r="A8" s="2" t="s">
        <v>10</v>
      </c>
      <c r="B8" s="16">
        <v>21</v>
      </c>
      <c r="C8" s="16"/>
      <c r="D8" s="16"/>
      <c r="E8" s="16"/>
      <c r="F8" s="16"/>
    </row>
    <row r="9" spans="1:6" ht="15" customHeight="1" x14ac:dyDescent="0.2">
      <c r="A9" s="2" t="s">
        <v>11</v>
      </c>
      <c r="B9" s="16" t="s">
        <v>12</v>
      </c>
      <c r="C9" s="16"/>
      <c r="D9" s="16"/>
      <c r="E9" s="16"/>
      <c r="F9" s="16"/>
    </row>
    <row r="10" spans="1:6" ht="15" customHeight="1" x14ac:dyDescent="0.2">
      <c r="A10" s="2" t="s">
        <v>13</v>
      </c>
      <c r="B10" s="16" t="s">
        <v>14</v>
      </c>
      <c r="C10" s="16"/>
      <c r="D10" s="16"/>
      <c r="E10" s="16"/>
      <c r="F10" s="16"/>
    </row>
    <row r="11" spans="1:6" ht="15" customHeight="1" x14ac:dyDescent="0.2">
      <c r="A11" s="2" t="s">
        <v>15</v>
      </c>
      <c r="B11" s="16" t="s">
        <v>16</v>
      </c>
      <c r="C11" s="16"/>
      <c r="D11" s="16"/>
      <c r="E11" s="16"/>
      <c r="F11" s="16"/>
    </row>
    <row r="12" spans="1:6" ht="15" customHeight="1" x14ac:dyDescent="0.2">
      <c r="A12" s="2" t="s">
        <v>17</v>
      </c>
      <c r="B12" s="16" t="s">
        <v>18</v>
      </c>
      <c r="C12" s="16"/>
      <c r="D12" s="16"/>
      <c r="E12" s="16"/>
      <c r="F12" s="16"/>
    </row>
    <row r="13" spans="1:6" ht="15" customHeight="1" x14ac:dyDescent="0.2">
      <c r="A13" s="2" t="s">
        <v>19</v>
      </c>
      <c r="B13" s="16" t="s">
        <v>20</v>
      </c>
      <c r="C13" s="16"/>
      <c r="D13" s="16"/>
      <c r="E13" s="16"/>
      <c r="F13" s="16"/>
    </row>
    <row r="14" spans="1:6" ht="15" customHeight="1" x14ac:dyDescent="0.2">
      <c r="A14" s="2" t="s">
        <v>21</v>
      </c>
      <c r="B14" s="16" t="s">
        <v>22</v>
      </c>
      <c r="C14" s="16"/>
      <c r="D14" s="16"/>
      <c r="E14" s="16"/>
      <c r="F14" s="16"/>
    </row>
    <row r="15" spans="1:6" ht="15" customHeight="1" x14ac:dyDescent="0.2">
      <c r="A15" s="2" t="s">
        <v>23</v>
      </c>
      <c r="B15" s="16" t="s">
        <v>24</v>
      </c>
      <c r="C15" s="16"/>
      <c r="D15" s="16"/>
      <c r="E15" s="16"/>
      <c r="F15" s="16"/>
    </row>
    <row r="16" spans="1:6" ht="15" customHeight="1" x14ac:dyDescent="0.2">
      <c r="A16" s="2" t="s">
        <v>25</v>
      </c>
      <c r="B16" s="16" t="s">
        <v>26</v>
      </c>
      <c r="C16" s="16"/>
      <c r="D16" s="16"/>
      <c r="E16" s="16"/>
      <c r="F16" s="16"/>
    </row>
    <row r="17" spans="1:6" ht="15" customHeight="1" x14ac:dyDescent="0.2">
      <c r="A17" s="2" t="s">
        <v>27</v>
      </c>
      <c r="B17" s="16" t="s">
        <v>28</v>
      </c>
      <c r="C17" s="16"/>
      <c r="D17" s="16"/>
      <c r="E17" s="16"/>
      <c r="F17" s="16"/>
    </row>
    <row r="18" spans="1:6" ht="15" customHeight="1" x14ac:dyDescent="0.2">
      <c r="A18" s="2" t="s">
        <v>29</v>
      </c>
      <c r="B18" s="16" t="s">
        <v>30</v>
      </c>
      <c r="C18" s="16"/>
      <c r="D18" s="16"/>
      <c r="E18" s="16"/>
      <c r="F18" s="16"/>
    </row>
    <row r="19" spans="1:6" ht="15" customHeight="1" x14ac:dyDescent="0.2">
      <c r="A19" s="2" t="s">
        <v>31</v>
      </c>
      <c r="B19" s="16" t="s">
        <v>32</v>
      </c>
      <c r="C19" s="16"/>
      <c r="D19" s="16"/>
      <c r="E19" s="16"/>
      <c r="F19" s="16"/>
    </row>
    <row r="20" spans="1:6" ht="15" customHeight="1" x14ac:dyDescent="0.2">
      <c r="A20" s="2" t="s">
        <v>33</v>
      </c>
      <c r="B20" s="16" t="s">
        <v>34</v>
      </c>
      <c r="C20" s="16"/>
      <c r="D20" s="16"/>
      <c r="E20" s="16"/>
      <c r="F20" s="16"/>
    </row>
    <row r="22" spans="1:6" ht="15" customHeight="1" x14ac:dyDescent="0.2">
      <c r="A22" s="15" t="s">
        <v>35</v>
      </c>
      <c r="B22" s="15"/>
      <c r="C22" s="15"/>
      <c r="D22" s="15"/>
      <c r="E22" s="15"/>
      <c r="F22" s="15"/>
    </row>
    <row r="23" spans="1:6" ht="15" customHeight="1" x14ac:dyDescent="0.2">
      <c r="A23" s="2" t="s">
        <v>36</v>
      </c>
      <c r="B23" s="16" t="s">
        <v>37</v>
      </c>
      <c r="C23" s="16"/>
      <c r="D23" s="16"/>
      <c r="E23" s="16"/>
      <c r="F23" s="16"/>
    </row>
    <row r="24" spans="1:6" ht="23.75" customHeight="1" x14ac:dyDescent="0.2">
      <c r="A24" s="2" t="s">
        <v>38</v>
      </c>
      <c r="B24" s="16" t="s">
        <v>39</v>
      </c>
      <c r="C24" s="16"/>
      <c r="D24" s="16"/>
      <c r="E24" s="16"/>
      <c r="F24" s="16"/>
    </row>
    <row r="25" spans="1:6" ht="15" customHeight="1" x14ac:dyDescent="0.2">
      <c r="A25" s="2" t="s">
        <v>40</v>
      </c>
      <c r="B25" s="16" t="s">
        <v>41</v>
      </c>
      <c r="C25" s="16"/>
      <c r="D25" s="16"/>
      <c r="E25" s="16"/>
      <c r="F25" s="16"/>
    </row>
    <row r="26" spans="1:6" ht="23.75" customHeight="1" x14ac:dyDescent="0.2">
      <c r="A26" s="2" t="s">
        <v>42</v>
      </c>
      <c r="B26" s="16" t="s">
        <v>43</v>
      </c>
      <c r="C26" s="16"/>
      <c r="D26" s="16"/>
      <c r="E26" s="16"/>
      <c r="F26" s="16"/>
    </row>
    <row r="27" spans="1:6" ht="15" customHeight="1" x14ac:dyDescent="0.2">
      <c r="A27" s="2" t="s">
        <v>44</v>
      </c>
      <c r="B27" s="16" t="s">
        <v>45</v>
      </c>
      <c r="C27" s="16"/>
      <c r="D27" s="16"/>
      <c r="E27" s="16"/>
      <c r="F27" s="16"/>
    </row>
    <row r="28" spans="1:6" ht="15" customHeight="1" x14ac:dyDescent="0.2">
      <c r="A28" s="2" t="s">
        <v>46</v>
      </c>
      <c r="B28" s="16" t="s">
        <v>47</v>
      </c>
      <c r="C28" s="16"/>
      <c r="D28" s="16"/>
      <c r="E28" s="16"/>
      <c r="F28" s="16"/>
    </row>
    <row r="29" spans="1:6" ht="15" customHeight="1" x14ac:dyDescent="0.2">
      <c r="A29" s="2" t="s">
        <v>48</v>
      </c>
      <c r="B29" s="16" t="s">
        <v>47</v>
      </c>
      <c r="C29" s="16"/>
      <c r="D29" s="16"/>
      <c r="E29" s="16"/>
      <c r="F29" s="16"/>
    </row>
    <row r="30" spans="1:6" ht="15" customHeight="1" x14ac:dyDescent="0.2">
      <c r="A30" s="2" t="s">
        <v>49</v>
      </c>
      <c r="B30" s="16" t="s">
        <v>50</v>
      </c>
      <c r="C30" s="16"/>
      <c r="D30" s="16"/>
      <c r="E30" s="16"/>
      <c r="F30" s="16"/>
    </row>
    <row r="31" spans="1:6" ht="15" customHeight="1" x14ac:dyDescent="0.2">
      <c r="A31" s="2" t="s">
        <v>51</v>
      </c>
      <c r="B31" s="16" t="s">
        <v>52</v>
      </c>
      <c r="C31" s="16"/>
      <c r="D31" s="16"/>
      <c r="E31" s="16"/>
      <c r="F31" s="16"/>
    </row>
    <row r="32" spans="1:6" ht="15" customHeight="1" x14ac:dyDescent="0.2">
      <c r="A32" s="2" t="s">
        <v>53</v>
      </c>
      <c r="B32" s="16" t="s">
        <v>54</v>
      </c>
      <c r="C32" s="16"/>
      <c r="D32" s="16"/>
      <c r="E32" s="16"/>
      <c r="F32" s="16"/>
    </row>
    <row r="34" spans="1:6" ht="15" customHeight="1" x14ac:dyDescent="0.2">
      <c r="A34" s="15" t="s">
        <v>55</v>
      </c>
      <c r="B34" s="15"/>
      <c r="C34" s="15"/>
      <c r="D34" s="15"/>
      <c r="E34" s="15"/>
      <c r="F34" s="15"/>
    </row>
    <row r="35" spans="1:6" ht="15" customHeight="1" x14ac:dyDescent="0.2">
      <c r="A35" s="2" t="s">
        <v>56</v>
      </c>
      <c r="B35" s="16" t="s">
        <v>57</v>
      </c>
      <c r="C35" s="16"/>
      <c r="D35" s="16"/>
      <c r="E35" s="16"/>
      <c r="F35" s="16"/>
    </row>
    <row r="36" spans="1:6" ht="15" customHeight="1" x14ac:dyDescent="0.2">
      <c r="A36" s="2" t="s">
        <v>58</v>
      </c>
      <c r="B36" s="16" t="s">
        <v>59</v>
      </c>
      <c r="C36" s="16"/>
      <c r="D36" s="16"/>
      <c r="E36" s="16"/>
      <c r="F36" s="16"/>
    </row>
    <row r="37" spans="1:6" ht="15" customHeight="1" x14ac:dyDescent="0.2">
      <c r="A37" s="2" t="s">
        <v>60</v>
      </c>
      <c r="B37" s="16" t="s">
        <v>61</v>
      </c>
      <c r="C37" s="16"/>
      <c r="D37" s="16"/>
      <c r="E37" s="16"/>
      <c r="F37" s="16"/>
    </row>
    <row r="38" spans="1:6" ht="23.75" customHeight="1" x14ac:dyDescent="0.2">
      <c r="A38" s="2" t="s">
        <v>62</v>
      </c>
      <c r="B38" s="16" t="s">
        <v>63</v>
      </c>
      <c r="C38" s="16"/>
      <c r="D38" s="16"/>
      <c r="E38" s="16"/>
      <c r="F38" s="16"/>
    </row>
    <row r="39" spans="1:6" ht="15" customHeight="1" x14ac:dyDescent="0.2">
      <c r="A39" s="2" t="s">
        <v>64</v>
      </c>
      <c r="B39" s="16" t="s">
        <v>65</v>
      </c>
      <c r="C39" s="16"/>
      <c r="D39" s="16"/>
      <c r="E39" s="16"/>
      <c r="F39" s="16"/>
    </row>
    <row r="41" spans="1:6" ht="15" customHeight="1" x14ac:dyDescent="0.2">
      <c r="A41" s="15" t="s">
        <v>66</v>
      </c>
      <c r="B41" s="15"/>
      <c r="C41" s="15"/>
      <c r="D41" s="15"/>
      <c r="E41" s="15"/>
      <c r="F41" s="15"/>
    </row>
    <row r="42" spans="1:6" ht="15" customHeight="1" x14ac:dyDescent="0.2">
      <c r="A42" s="3" t="s">
        <v>67</v>
      </c>
      <c r="B42" s="3" t="s">
        <v>68</v>
      </c>
      <c r="C42" s="17" t="s">
        <v>69</v>
      </c>
      <c r="D42" s="17"/>
      <c r="E42" s="17"/>
      <c r="F42" s="17"/>
    </row>
    <row r="43" spans="1:6" ht="23.75" customHeight="1" x14ac:dyDescent="0.2">
      <c r="A43" s="1" t="s">
        <v>70</v>
      </c>
      <c r="B43" s="4" t="s">
        <v>71</v>
      </c>
      <c r="C43" s="16" t="s">
        <v>72</v>
      </c>
      <c r="D43" s="16"/>
      <c r="E43" s="16"/>
      <c r="F43" s="16"/>
    </row>
    <row r="44" spans="1:6" ht="15" customHeight="1" x14ac:dyDescent="0.2">
      <c r="A44" s="1" t="s">
        <v>73</v>
      </c>
      <c r="B44" s="4" t="s">
        <v>71</v>
      </c>
      <c r="C44" s="16" t="s">
        <v>74</v>
      </c>
      <c r="D44" s="16"/>
      <c r="E44" s="16"/>
      <c r="F44" s="16"/>
    </row>
    <row r="45" spans="1:6" ht="15" customHeight="1" x14ac:dyDescent="0.2">
      <c r="A45" s="1" t="s">
        <v>75</v>
      </c>
      <c r="B45" s="4" t="s">
        <v>71</v>
      </c>
      <c r="C45" s="16" t="s">
        <v>76</v>
      </c>
      <c r="D45" s="16"/>
      <c r="E45" s="16"/>
      <c r="F45" s="16"/>
    </row>
    <row r="46" spans="1:6" ht="15" customHeight="1" x14ac:dyDescent="0.2">
      <c r="A46" s="1" t="s">
        <v>77</v>
      </c>
      <c r="B46" s="4" t="s">
        <v>78</v>
      </c>
      <c r="C46" s="16" t="s">
        <v>79</v>
      </c>
      <c r="D46" s="16"/>
      <c r="E46" s="16"/>
      <c r="F46" s="16"/>
    </row>
    <row r="47" spans="1:6" ht="23.75" customHeight="1" x14ac:dyDescent="0.2">
      <c r="A47" s="1" t="s">
        <v>80</v>
      </c>
      <c r="B47" s="4" t="s">
        <v>78</v>
      </c>
      <c r="C47" s="16" t="s">
        <v>81</v>
      </c>
      <c r="D47" s="16"/>
      <c r="E47" s="16"/>
      <c r="F47" s="16"/>
    </row>
    <row r="48" spans="1:6" ht="15" customHeight="1" x14ac:dyDescent="0.2">
      <c r="A48" s="1" t="s">
        <v>82</v>
      </c>
      <c r="B48" s="4" t="s">
        <v>78</v>
      </c>
      <c r="C48" s="16" t="s">
        <v>83</v>
      </c>
      <c r="D48" s="16"/>
      <c r="E48" s="16"/>
      <c r="F48" s="16"/>
    </row>
    <row r="49" spans="1:6" ht="15" customHeight="1" x14ac:dyDescent="0.2">
      <c r="A49" s="1" t="s">
        <v>84</v>
      </c>
      <c r="B49" s="4" t="s">
        <v>78</v>
      </c>
      <c r="C49" s="16" t="s">
        <v>85</v>
      </c>
      <c r="D49" s="16"/>
      <c r="E49" s="16"/>
      <c r="F49" s="16"/>
    </row>
    <row r="50" spans="1:6" ht="15" customHeight="1" x14ac:dyDescent="0.2">
      <c r="A50" s="1" t="s">
        <v>86</v>
      </c>
      <c r="B50" s="4" t="s">
        <v>78</v>
      </c>
      <c r="C50" s="16" t="s">
        <v>87</v>
      </c>
      <c r="D50" s="16"/>
      <c r="E50" s="16"/>
      <c r="F50" s="16"/>
    </row>
    <row r="51" spans="1:6" ht="15" customHeight="1" x14ac:dyDescent="0.2">
      <c r="A51" s="1" t="s">
        <v>88</v>
      </c>
      <c r="B51" s="4" t="s">
        <v>78</v>
      </c>
      <c r="C51" s="16" t="s">
        <v>89</v>
      </c>
      <c r="D51" s="16"/>
      <c r="E51" s="16"/>
      <c r="F51" s="16"/>
    </row>
    <row r="52" spans="1:6" ht="15" customHeight="1" x14ac:dyDescent="0.2">
      <c r="A52" s="1" t="s">
        <v>90</v>
      </c>
      <c r="B52" s="4" t="s">
        <v>78</v>
      </c>
      <c r="C52" s="16" t="s">
        <v>91</v>
      </c>
      <c r="D52" s="16"/>
      <c r="E52" s="16"/>
      <c r="F52" s="16"/>
    </row>
    <row r="53" spans="1:6" ht="15" customHeight="1" x14ac:dyDescent="0.2">
      <c r="A53" s="1" t="s">
        <v>92</v>
      </c>
      <c r="B53" s="4" t="s">
        <v>93</v>
      </c>
      <c r="C53" s="16" t="s">
        <v>94</v>
      </c>
      <c r="D53" s="16"/>
      <c r="E53" s="16"/>
      <c r="F53" s="16"/>
    </row>
    <row r="54" spans="1:6" ht="15" customHeight="1" x14ac:dyDescent="0.2">
      <c r="A54" s="1" t="s">
        <v>95</v>
      </c>
      <c r="B54" s="4" t="s">
        <v>93</v>
      </c>
      <c r="C54" s="16" t="s">
        <v>96</v>
      </c>
      <c r="D54" s="16"/>
      <c r="E54" s="16"/>
      <c r="F54" s="16"/>
    </row>
    <row r="55" spans="1:6" ht="15" customHeight="1" x14ac:dyDescent="0.2">
      <c r="A55" s="1" t="s">
        <v>97</v>
      </c>
      <c r="B55" s="4" t="s">
        <v>93</v>
      </c>
      <c r="C55" s="16" t="s">
        <v>98</v>
      </c>
      <c r="D55" s="16"/>
      <c r="E55" s="16"/>
      <c r="F55" s="16"/>
    </row>
    <row r="56" spans="1:6" ht="15" customHeight="1" x14ac:dyDescent="0.2">
      <c r="A56" s="1" t="s">
        <v>99</v>
      </c>
      <c r="B56" s="4" t="s">
        <v>93</v>
      </c>
      <c r="C56" s="16" t="s">
        <v>100</v>
      </c>
      <c r="D56" s="16"/>
      <c r="E56" s="16"/>
      <c r="F56" s="16"/>
    </row>
    <row r="57" spans="1:6" ht="15" customHeight="1" x14ac:dyDescent="0.2">
      <c r="A57" s="1" t="s">
        <v>101</v>
      </c>
      <c r="B57" s="4" t="s">
        <v>93</v>
      </c>
      <c r="C57" s="16" t="s">
        <v>102</v>
      </c>
      <c r="D57" s="16"/>
      <c r="E57" s="16"/>
      <c r="F57" s="16"/>
    </row>
    <row r="58" spans="1:6" ht="23.75" customHeight="1" x14ac:dyDescent="0.2">
      <c r="A58" s="1" t="s">
        <v>103</v>
      </c>
      <c r="B58" s="4" t="s">
        <v>93</v>
      </c>
      <c r="C58" s="16" t="s">
        <v>104</v>
      </c>
      <c r="D58" s="16"/>
      <c r="E58" s="16"/>
      <c r="F58" s="16"/>
    </row>
  </sheetData>
  <mergeCells count="54">
    <mergeCell ref="C55:F55"/>
    <mergeCell ref="C56:F56"/>
    <mergeCell ref="C57:F57"/>
    <mergeCell ref="C58:F58"/>
    <mergeCell ref="C50:F50"/>
    <mergeCell ref="C51:F51"/>
    <mergeCell ref="C52:F52"/>
    <mergeCell ref="C53:F53"/>
    <mergeCell ref="C54:F54"/>
    <mergeCell ref="C45:F45"/>
    <mergeCell ref="C46:F46"/>
    <mergeCell ref="C47:F47"/>
    <mergeCell ref="C48:F48"/>
    <mergeCell ref="C49:F49"/>
    <mergeCell ref="B39:F39"/>
    <mergeCell ref="A41:F41"/>
    <mergeCell ref="C42:F42"/>
    <mergeCell ref="C43:F43"/>
    <mergeCell ref="C44:F44"/>
    <mergeCell ref="A34:F34"/>
    <mergeCell ref="B35:F35"/>
    <mergeCell ref="B36:F36"/>
    <mergeCell ref="B37:F37"/>
    <mergeCell ref="B38:F38"/>
    <mergeCell ref="B28:F28"/>
    <mergeCell ref="B29:F29"/>
    <mergeCell ref="B30:F30"/>
    <mergeCell ref="B31:F31"/>
    <mergeCell ref="B32:F32"/>
    <mergeCell ref="B23:F23"/>
    <mergeCell ref="B24:F24"/>
    <mergeCell ref="B25:F25"/>
    <mergeCell ref="B26:F26"/>
    <mergeCell ref="B27:F27"/>
    <mergeCell ref="B17:F17"/>
    <mergeCell ref="B18:F18"/>
    <mergeCell ref="B19:F19"/>
    <mergeCell ref="B20:F20"/>
    <mergeCell ref="A22:F22"/>
    <mergeCell ref="B12:F12"/>
    <mergeCell ref="B13:F13"/>
    <mergeCell ref="B14:F14"/>
    <mergeCell ref="B15:F15"/>
    <mergeCell ref="B16:F16"/>
    <mergeCell ref="B7:F7"/>
    <mergeCell ref="B8:F8"/>
    <mergeCell ref="B9:F9"/>
    <mergeCell ref="B10:F10"/>
    <mergeCell ref="B11:F11"/>
    <mergeCell ref="A1:F1"/>
    <mergeCell ref="A3:F3"/>
    <mergeCell ref="B4:F4"/>
    <mergeCell ref="B5:F5"/>
    <mergeCell ref="B6:F6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56"/>
  <sheetViews>
    <sheetView showGridLines="0" zoomScaleNormal="100" workbookViewId="0">
      <pane ySplit="2" topLeftCell="A3" activePane="bottomLeft" state="frozen"/>
      <selection pane="bottomLeft" activeCell="B47" sqref="B47"/>
    </sheetView>
  </sheetViews>
  <sheetFormatPr baseColWidth="10" defaultColWidth="8.6640625" defaultRowHeight="15" x14ac:dyDescent="0.2"/>
  <cols>
    <col min="1" max="1" width="12" customWidth="1"/>
    <col min="2" max="2" width="36" customWidth="1"/>
    <col min="3" max="4" width="22" customWidth="1"/>
    <col min="5" max="5" width="18" customWidth="1"/>
    <col min="6" max="6" width="22" customWidth="1"/>
    <col min="7" max="7" width="18" customWidth="1"/>
  </cols>
  <sheetData>
    <row r="1" spans="1:7" ht="27.75" customHeight="1" x14ac:dyDescent="0.2">
      <c r="A1" s="14" t="s">
        <v>105</v>
      </c>
      <c r="B1" s="14"/>
      <c r="C1" s="14"/>
      <c r="D1" s="14"/>
      <c r="E1" s="14"/>
      <c r="F1" s="14"/>
      <c r="G1" s="14"/>
    </row>
    <row r="3" spans="1:7" ht="15" customHeight="1" x14ac:dyDescent="0.2">
      <c r="A3" s="15" t="s">
        <v>106</v>
      </c>
      <c r="B3" s="15"/>
      <c r="C3" s="15"/>
      <c r="D3" s="15"/>
      <c r="E3" s="15"/>
      <c r="F3" s="15"/>
      <c r="G3" s="15"/>
    </row>
    <row r="4" spans="1:7" ht="39.75" customHeight="1" x14ac:dyDescent="0.2">
      <c r="A4" s="3" t="s">
        <v>107</v>
      </c>
      <c r="B4" s="3" t="s">
        <v>8</v>
      </c>
      <c r="C4" s="3" t="s">
        <v>108</v>
      </c>
      <c r="D4" s="3" t="s">
        <v>109</v>
      </c>
      <c r="E4" s="3" t="s">
        <v>110</v>
      </c>
      <c r="F4" s="3" t="s">
        <v>111</v>
      </c>
      <c r="G4" s="3" t="s">
        <v>112</v>
      </c>
    </row>
    <row r="5" spans="1:7" x14ac:dyDescent="0.2">
      <c r="A5" s="1">
        <v>1</v>
      </c>
      <c r="B5" s="4" t="s">
        <v>113</v>
      </c>
      <c r="C5" s="1">
        <v>60000</v>
      </c>
      <c r="D5" s="1">
        <v>16</v>
      </c>
      <c r="E5" s="1">
        <v>0</v>
      </c>
      <c r="F5" s="1">
        <v>38</v>
      </c>
      <c r="G5" s="1">
        <v>0.3</v>
      </c>
    </row>
    <row r="6" spans="1:7" x14ac:dyDescent="0.2">
      <c r="A6" s="1">
        <v>2</v>
      </c>
      <c r="B6" s="4" t="s">
        <v>114</v>
      </c>
      <c r="C6" s="1">
        <v>30000</v>
      </c>
      <c r="D6" s="1">
        <v>16</v>
      </c>
      <c r="E6" s="1">
        <v>0</v>
      </c>
      <c r="F6" s="1">
        <v>28</v>
      </c>
      <c r="G6" s="1">
        <v>0.3</v>
      </c>
    </row>
    <row r="7" spans="1:7" x14ac:dyDescent="0.2">
      <c r="A7" s="1">
        <v>3</v>
      </c>
      <c r="B7" s="4" t="s">
        <v>115</v>
      </c>
      <c r="C7" s="1">
        <v>7500</v>
      </c>
      <c r="D7" s="1">
        <v>16</v>
      </c>
      <c r="E7" s="1">
        <v>0</v>
      </c>
      <c r="F7" s="1">
        <v>29</v>
      </c>
      <c r="G7" s="1">
        <v>0.3</v>
      </c>
    </row>
    <row r="8" spans="1:7" x14ac:dyDescent="0.2">
      <c r="A8" s="1">
        <v>4</v>
      </c>
      <c r="B8" s="4" t="s">
        <v>116</v>
      </c>
      <c r="C8" s="1">
        <v>1260</v>
      </c>
      <c r="D8" s="1">
        <v>17</v>
      </c>
      <c r="E8" s="1">
        <v>0</v>
      </c>
      <c r="F8" s="1">
        <v>27</v>
      </c>
      <c r="G8" s="1">
        <v>0.3</v>
      </c>
    </row>
    <row r="9" spans="1:7" x14ac:dyDescent="0.2">
      <c r="A9" s="1">
        <v>5</v>
      </c>
      <c r="B9" s="4" t="s">
        <v>117</v>
      </c>
      <c r="C9" s="1">
        <v>45000</v>
      </c>
      <c r="D9" s="1">
        <v>17</v>
      </c>
      <c r="E9" s="1">
        <v>0</v>
      </c>
      <c r="F9" s="1">
        <v>27</v>
      </c>
      <c r="G9" s="1">
        <v>0.3</v>
      </c>
    </row>
    <row r="10" spans="1:7" x14ac:dyDescent="0.2">
      <c r="A10" s="1">
        <v>6</v>
      </c>
      <c r="B10" s="4" t="s">
        <v>118</v>
      </c>
      <c r="C10" s="1">
        <v>15000</v>
      </c>
      <c r="D10" s="1">
        <v>17</v>
      </c>
      <c r="E10" s="1">
        <v>20</v>
      </c>
      <c r="F10" s="1">
        <v>0</v>
      </c>
      <c r="G10" s="1">
        <v>0.3</v>
      </c>
    </row>
    <row r="11" spans="1:7" x14ac:dyDescent="0.2">
      <c r="A11" s="1">
        <v>7</v>
      </c>
      <c r="B11" s="4" t="s">
        <v>119</v>
      </c>
      <c r="C11" s="1">
        <v>21000</v>
      </c>
      <c r="D11" s="1">
        <v>17</v>
      </c>
      <c r="E11" s="1">
        <v>0</v>
      </c>
      <c r="F11" s="1">
        <v>27</v>
      </c>
      <c r="G11" s="1">
        <v>0.3</v>
      </c>
    </row>
    <row r="12" spans="1:7" x14ac:dyDescent="0.2">
      <c r="A12" s="1">
        <v>8</v>
      </c>
      <c r="B12" s="4" t="s">
        <v>118</v>
      </c>
      <c r="C12" s="1">
        <v>30000</v>
      </c>
      <c r="D12" s="1">
        <v>17</v>
      </c>
      <c r="E12" s="1">
        <v>20</v>
      </c>
      <c r="F12" s="1">
        <v>0</v>
      </c>
      <c r="G12" s="1">
        <v>0.3</v>
      </c>
    </row>
    <row r="13" spans="1:7" x14ac:dyDescent="0.2">
      <c r="A13" s="1">
        <v>9</v>
      </c>
      <c r="B13" s="4" t="s">
        <v>120</v>
      </c>
      <c r="C13" s="1">
        <v>36000</v>
      </c>
      <c r="D13" s="1">
        <v>17</v>
      </c>
      <c r="E13" s="1">
        <v>0</v>
      </c>
      <c r="F13" s="1">
        <v>27</v>
      </c>
      <c r="G13" s="1">
        <v>0.3</v>
      </c>
    </row>
    <row r="14" spans="1:7" x14ac:dyDescent="0.2">
      <c r="A14" s="1">
        <v>10</v>
      </c>
      <c r="B14" s="4" t="s">
        <v>118</v>
      </c>
      <c r="C14" s="1">
        <v>24000</v>
      </c>
      <c r="D14" s="1">
        <v>17</v>
      </c>
      <c r="E14" s="1">
        <v>20</v>
      </c>
      <c r="F14" s="1">
        <v>0</v>
      </c>
      <c r="G14" s="1">
        <v>0.3</v>
      </c>
    </row>
    <row r="17" spans="1:7" ht="15" customHeight="1" x14ac:dyDescent="0.2">
      <c r="A17" s="15" t="s">
        <v>121</v>
      </c>
      <c r="B17" s="15"/>
      <c r="C17" s="15"/>
      <c r="D17" s="15"/>
      <c r="E17" s="15"/>
      <c r="F17" s="15"/>
      <c r="G17" s="15"/>
    </row>
    <row r="18" spans="1:7" ht="39.75" customHeight="1" x14ac:dyDescent="0.2">
      <c r="A18" s="3" t="s">
        <v>107</v>
      </c>
      <c r="B18" s="3" t="s">
        <v>8</v>
      </c>
      <c r="C18" s="3" t="s">
        <v>108</v>
      </c>
      <c r="D18" s="3" t="s">
        <v>109</v>
      </c>
      <c r="E18" s="3" t="s">
        <v>110</v>
      </c>
      <c r="F18" s="3" t="s">
        <v>111</v>
      </c>
      <c r="G18" s="3" t="s">
        <v>112</v>
      </c>
    </row>
    <row r="19" spans="1:7" x14ac:dyDescent="0.2">
      <c r="A19" s="1">
        <v>1</v>
      </c>
      <c r="B19" s="4" t="s">
        <v>113</v>
      </c>
      <c r="C19" s="1">
        <v>60000</v>
      </c>
      <c r="D19" s="1">
        <v>16</v>
      </c>
      <c r="E19" s="1">
        <v>0</v>
      </c>
      <c r="F19" s="1">
        <v>38</v>
      </c>
      <c r="G19" s="1">
        <v>0.3</v>
      </c>
    </row>
    <row r="20" spans="1:7" x14ac:dyDescent="0.2">
      <c r="A20" s="1">
        <v>2</v>
      </c>
      <c r="B20" s="4" t="s">
        <v>114</v>
      </c>
      <c r="C20" s="1">
        <v>30000</v>
      </c>
      <c r="D20" s="1">
        <v>16</v>
      </c>
      <c r="E20" s="1">
        <v>0</v>
      </c>
      <c r="F20" s="1">
        <v>28</v>
      </c>
      <c r="G20" s="1">
        <v>0.3</v>
      </c>
    </row>
    <row r="21" spans="1:7" x14ac:dyDescent="0.2">
      <c r="A21" s="1">
        <v>3</v>
      </c>
      <c r="B21" s="4" t="s">
        <v>115</v>
      </c>
      <c r="C21" s="1">
        <v>3000</v>
      </c>
      <c r="D21" s="1">
        <v>16</v>
      </c>
      <c r="E21" s="1">
        <v>0</v>
      </c>
      <c r="F21" s="1">
        <v>29</v>
      </c>
      <c r="G21" s="1">
        <v>0.3</v>
      </c>
    </row>
    <row r="22" spans="1:7" x14ac:dyDescent="0.2">
      <c r="A22" s="1">
        <v>4</v>
      </c>
      <c r="B22" s="4" t="s">
        <v>116</v>
      </c>
      <c r="C22" s="1">
        <v>1320</v>
      </c>
      <c r="D22" s="1">
        <v>17</v>
      </c>
      <c r="E22" s="1">
        <v>0</v>
      </c>
      <c r="F22" s="1">
        <v>27</v>
      </c>
      <c r="G22" s="1">
        <v>0.3</v>
      </c>
    </row>
    <row r="23" spans="1:7" x14ac:dyDescent="0.2">
      <c r="A23" s="1">
        <v>5</v>
      </c>
      <c r="B23" s="4" t="s">
        <v>117</v>
      </c>
      <c r="C23" s="1">
        <v>24000</v>
      </c>
      <c r="D23" s="1">
        <v>17</v>
      </c>
      <c r="E23" s="1">
        <v>0</v>
      </c>
      <c r="F23" s="1">
        <v>27</v>
      </c>
      <c r="G23" s="1">
        <v>0.3</v>
      </c>
    </row>
    <row r="24" spans="1:7" x14ac:dyDescent="0.2">
      <c r="A24" s="1">
        <v>6</v>
      </c>
      <c r="B24" s="4" t="s">
        <v>118</v>
      </c>
      <c r="C24" s="1">
        <v>18000</v>
      </c>
      <c r="D24" s="1">
        <v>17</v>
      </c>
      <c r="E24" s="1">
        <v>20</v>
      </c>
      <c r="F24" s="1">
        <v>0</v>
      </c>
      <c r="G24" s="1">
        <v>0.3</v>
      </c>
    </row>
    <row r="25" spans="1:7" x14ac:dyDescent="0.2">
      <c r="A25" s="1">
        <v>7</v>
      </c>
      <c r="B25" s="4" t="s">
        <v>120</v>
      </c>
      <c r="C25" s="1">
        <v>36000</v>
      </c>
      <c r="D25" s="1">
        <v>17</v>
      </c>
      <c r="E25" s="1">
        <v>0</v>
      </c>
      <c r="F25" s="1">
        <v>27</v>
      </c>
      <c r="G25" s="1">
        <v>0.3</v>
      </c>
    </row>
    <row r="26" spans="1:7" x14ac:dyDescent="0.2">
      <c r="A26" s="1">
        <v>8</v>
      </c>
      <c r="B26" s="4" t="s">
        <v>118</v>
      </c>
      <c r="C26" s="1">
        <v>24000</v>
      </c>
      <c r="D26" s="1">
        <v>17</v>
      </c>
      <c r="E26" s="1">
        <v>20</v>
      </c>
      <c r="F26" s="1">
        <v>0</v>
      </c>
      <c r="G26" s="1">
        <v>0.3</v>
      </c>
    </row>
    <row r="29" spans="1:7" ht="15" customHeight="1" x14ac:dyDescent="0.2">
      <c r="A29" s="15" t="s">
        <v>122</v>
      </c>
      <c r="B29" s="15"/>
      <c r="C29" s="15"/>
      <c r="D29" s="15"/>
      <c r="E29" s="15"/>
      <c r="F29" s="15"/>
      <c r="G29" s="15"/>
    </row>
    <row r="30" spans="1:7" ht="39.75" customHeight="1" x14ac:dyDescent="0.2">
      <c r="A30" s="3" t="s">
        <v>107</v>
      </c>
      <c r="B30" s="3" t="s">
        <v>8</v>
      </c>
      <c r="C30" s="3" t="s">
        <v>108</v>
      </c>
      <c r="D30" s="3" t="s">
        <v>109</v>
      </c>
      <c r="E30" s="3" t="s">
        <v>110</v>
      </c>
      <c r="F30" s="3" t="s">
        <v>111</v>
      </c>
      <c r="G30" s="3" t="s">
        <v>112</v>
      </c>
    </row>
    <row r="31" spans="1:7" x14ac:dyDescent="0.2">
      <c r="A31" s="1">
        <v>1</v>
      </c>
      <c r="B31" s="4" t="s">
        <v>113</v>
      </c>
      <c r="C31" s="1">
        <v>60000</v>
      </c>
      <c r="D31" s="1">
        <v>16</v>
      </c>
      <c r="E31" s="1">
        <v>0</v>
      </c>
      <c r="F31" s="1">
        <v>38</v>
      </c>
      <c r="G31" s="1">
        <v>0.3</v>
      </c>
    </row>
    <row r="32" spans="1:7" x14ac:dyDescent="0.2">
      <c r="A32" s="1">
        <v>2</v>
      </c>
      <c r="B32" s="4" t="s">
        <v>114</v>
      </c>
      <c r="C32" s="1">
        <v>30000</v>
      </c>
      <c r="D32" s="1">
        <v>16</v>
      </c>
      <c r="E32" s="1">
        <v>0</v>
      </c>
      <c r="F32" s="1">
        <v>28</v>
      </c>
      <c r="G32" s="1">
        <v>0.3</v>
      </c>
    </row>
    <row r="33" spans="1:7" x14ac:dyDescent="0.2">
      <c r="A33" s="1">
        <v>3</v>
      </c>
      <c r="B33" s="4" t="s">
        <v>115</v>
      </c>
      <c r="C33" s="1">
        <v>6250</v>
      </c>
      <c r="D33" s="1">
        <v>17</v>
      </c>
      <c r="E33" s="1">
        <v>0</v>
      </c>
      <c r="F33" s="1">
        <v>29</v>
      </c>
      <c r="G33" s="1">
        <v>0.3</v>
      </c>
    </row>
    <row r="34" spans="1:7" x14ac:dyDescent="0.2">
      <c r="A34" s="1">
        <v>4</v>
      </c>
      <c r="B34" s="4" t="s">
        <v>116</v>
      </c>
      <c r="C34" s="1">
        <v>2925</v>
      </c>
      <c r="D34" s="1">
        <v>17</v>
      </c>
      <c r="E34" s="1">
        <v>0</v>
      </c>
      <c r="F34" s="1">
        <v>27</v>
      </c>
      <c r="G34" s="1">
        <v>0.3</v>
      </c>
    </row>
    <row r="35" spans="1:7" x14ac:dyDescent="0.2">
      <c r="A35" s="1">
        <v>5</v>
      </c>
      <c r="B35" s="4" t="s">
        <v>117</v>
      </c>
      <c r="C35" s="1">
        <v>23250</v>
      </c>
      <c r="D35" s="1">
        <v>17</v>
      </c>
      <c r="E35" s="1">
        <v>0</v>
      </c>
      <c r="F35" s="1">
        <v>27</v>
      </c>
      <c r="G35" s="1">
        <v>0.3</v>
      </c>
    </row>
    <row r="36" spans="1:7" x14ac:dyDescent="0.2">
      <c r="A36" s="1">
        <v>6</v>
      </c>
      <c r="B36" s="4" t="s">
        <v>118</v>
      </c>
      <c r="C36" s="1">
        <v>20000</v>
      </c>
      <c r="D36" s="1">
        <v>17</v>
      </c>
      <c r="E36" s="1">
        <v>20</v>
      </c>
      <c r="F36" s="1">
        <v>0</v>
      </c>
      <c r="G36" s="1">
        <v>0.3</v>
      </c>
    </row>
    <row r="39" spans="1:7" ht="15" customHeight="1" x14ac:dyDescent="0.2">
      <c r="A39" s="15" t="s">
        <v>123</v>
      </c>
      <c r="B39" s="15"/>
      <c r="C39" s="15"/>
      <c r="D39" s="15"/>
      <c r="E39" s="15"/>
      <c r="F39" s="15"/>
      <c r="G39" s="15"/>
    </row>
    <row r="40" spans="1:7" ht="15" customHeight="1" x14ac:dyDescent="0.2">
      <c r="A40" s="18" t="s">
        <v>124</v>
      </c>
      <c r="B40" s="18"/>
      <c r="C40" s="18"/>
      <c r="D40" s="16" t="s">
        <v>125</v>
      </c>
      <c r="E40" s="16"/>
      <c r="F40" s="16"/>
      <c r="G40" s="16"/>
    </row>
    <row r="41" spans="1:7" ht="15" customHeight="1" x14ac:dyDescent="0.2">
      <c r="A41" s="18" t="s">
        <v>126</v>
      </c>
      <c r="B41" s="18"/>
      <c r="C41" s="18"/>
      <c r="D41" s="16" t="s">
        <v>127</v>
      </c>
      <c r="E41" s="16"/>
      <c r="F41" s="16"/>
      <c r="G41" s="16"/>
    </row>
    <row r="42" spans="1:7" ht="15" customHeight="1" x14ac:dyDescent="0.2">
      <c r="A42" s="18" t="s">
        <v>128</v>
      </c>
      <c r="B42" s="18"/>
      <c r="C42" s="18"/>
      <c r="D42" s="16" t="s">
        <v>129</v>
      </c>
      <c r="E42" s="16"/>
      <c r="F42" s="16"/>
      <c r="G42" s="16"/>
    </row>
    <row r="43" spans="1:7" ht="15" customHeight="1" x14ac:dyDescent="0.2">
      <c r="A43" s="18" t="s">
        <v>130</v>
      </c>
      <c r="B43" s="18"/>
      <c r="C43" s="18"/>
      <c r="D43" s="16" t="s">
        <v>131</v>
      </c>
      <c r="E43" s="16"/>
      <c r="F43" s="16"/>
      <c r="G43" s="16"/>
    </row>
    <row r="44" spans="1:7" ht="15" customHeight="1" x14ac:dyDescent="0.2">
      <c r="A44" s="18" t="s">
        <v>132</v>
      </c>
      <c r="B44" s="18"/>
      <c r="C44" s="18"/>
      <c r="D44" s="16" t="s">
        <v>133</v>
      </c>
      <c r="E44" s="16"/>
      <c r="F44" s="16"/>
      <c r="G44" s="16"/>
    </row>
    <row r="45" spans="1:7" ht="15" customHeight="1" x14ac:dyDescent="0.2">
      <c r="A45" s="18" t="s">
        <v>134</v>
      </c>
      <c r="B45" s="18"/>
      <c r="C45" s="18"/>
      <c r="D45" s="16" t="s">
        <v>135</v>
      </c>
      <c r="E45" s="16"/>
      <c r="F45" s="16"/>
      <c r="G45" s="16"/>
    </row>
    <row r="46" spans="1:7" ht="15" customHeight="1" x14ac:dyDescent="0.2">
      <c r="A46" s="18" t="s">
        <v>136</v>
      </c>
      <c r="B46" s="18"/>
      <c r="C46" s="18"/>
      <c r="D46" s="16" t="s">
        <v>137</v>
      </c>
      <c r="E46" s="16"/>
      <c r="F46" s="16"/>
      <c r="G46" s="16"/>
    </row>
    <row r="47" spans="1:7" x14ac:dyDescent="0.2">
      <c r="B47" t="s">
        <v>725</v>
      </c>
    </row>
    <row r="48" spans="1:7" x14ac:dyDescent="0.2">
      <c r="A48" s="19" t="s">
        <v>138</v>
      </c>
      <c r="B48" s="19"/>
      <c r="C48" s="19"/>
      <c r="D48" s="19"/>
      <c r="E48" s="19"/>
      <c r="F48" s="19"/>
      <c r="G48" s="19"/>
    </row>
    <row r="49" spans="1:7" x14ac:dyDescent="0.2">
      <c r="A49" s="20" t="s">
        <v>139</v>
      </c>
      <c r="B49" s="20"/>
      <c r="C49" s="20"/>
      <c r="D49" s="20"/>
      <c r="E49" s="20"/>
      <c r="F49" s="20"/>
      <c r="G49" s="20"/>
    </row>
    <row r="50" spans="1:7" x14ac:dyDescent="0.2">
      <c r="A50" s="20" t="s">
        <v>140</v>
      </c>
      <c r="B50" s="20"/>
      <c r="C50" s="20"/>
      <c r="D50" s="20"/>
      <c r="E50" s="20"/>
      <c r="F50" s="20"/>
      <c r="G50" s="20"/>
    </row>
    <row r="51" spans="1:7" x14ac:dyDescent="0.2">
      <c r="A51" s="20" t="s">
        <v>141</v>
      </c>
      <c r="B51" s="20"/>
      <c r="C51" s="20"/>
      <c r="D51" s="20"/>
      <c r="E51" s="20"/>
      <c r="F51" s="20"/>
      <c r="G51" s="20"/>
    </row>
    <row r="52" spans="1:7" x14ac:dyDescent="0.2">
      <c r="A52" s="20" t="s">
        <v>142</v>
      </c>
      <c r="B52" s="20"/>
      <c r="C52" s="20"/>
      <c r="D52" s="20"/>
      <c r="E52" s="20"/>
      <c r="F52" s="20"/>
      <c r="G52" s="20"/>
    </row>
    <row r="53" spans="1:7" x14ac:dyDescent="0.2">
      <c r="A53" s="20" t="s">
        <v>143</v>
      </c>
      <c r="B53" s="20"/>
      <c r="C53" s="20"/>
      <c r="D53" s="20"/>
      <c r="E53" s="20"/>
      <c r="F53" s="20"/>
      <c r="G53" s="20"/>
    </row>
    <row r="54" spans="1:7" x14ac:dyDescent="0.2">
      <c r="A54" s="20" t="s">
        <v>144</v>
      </c>
      <c r="B54" s="20"/>
      <c r="C54" s="20"/>
      <c r="D54" s="20"/>
      <c r="E54" s="20"/>
      <c r="F54" s="20"/>
      <c r="G54" s="20"/>
    </row>
    <row r="55" spans="1:7" x14ac:dyDescent="0.2">
      <c r="A55" s="20" t="s">
        <v>145</v>
      </c>
      <c r="B55" s="20"/>
      <c r="C55" s="20"/>
      <c r="D55" s="20"/>
      <c r="E55" s="20"/>
      <c r="F55" s="20"/>
      <c r="G55" s="20"/>
    </row>
    <row r="56" spans="1:7" x14ac:dyDescent="0.2">
      <c r="A56" s="20" t="s">
        <v>146</v>
      </c>
      <c r="B56" s="20"/>
      <c r="C56" s="20"/>
      <c r="D56" s="20"/>
      <c r="E56" s="20"/>
      <c r="F56" s="20"/>
      <c r="G56" s="20"/>
    </row>
  </sheetData>
  <mergeCells count="28">
    <mergeCell ref="A56:G56"/>
    <mergeCell ref="A51:G51"/>
    <mergeCell ref="A52:G52"/>
    <mergeCell ref="A53:G53"/>
    <mergeCell ref="A54:G54"/>
    <mergeCell ref="A55:G55"/>
    <mergeCell ref="A46:C46"/>
    <mergeCell ref="D46:G46"/>
    <mergeCell ref="A48:G48"/>
    <mergeCell ref="A49:G49"/>
    <mergeCell ref="A50:G50"/>
    <mergeCell ref="A43:C43"/>
    <mergeCell ref="D43:G43"/>
    <mergeCell ref="A44:C44"/>
    <mergeCell ref="D44:G44"/>
    <mergeCell ref="A45:C45"/>
    <mergeCell ref="D45:G45"/>
    <mergeCell ref="A40:C40"/>
    <mergeCell ref="D40:G40"/>
    <mergeCell ref="A41:C41"/>
    <mergeCell ref="D41:G41"/>
    <mergeCell ref="A42:C42"/>
    <mergeCell ref="D42:G42"/>
    <mergeCell ref="A1:G1"/>
    <mergeCell ref="A3:G3"/>
    <mergeCell ref="A17:G17"/>
    <mergeCell ref="A29:G29"/>
    <mergeCell ref="A39:G39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36"/>
  <sheetViews>
    <sheetView showGridLines="0" tabSelected="1" zoomScale="160" zoomScaleNormal="160" workbookViewId="0">
      <pane ySplit="2" topLeftCell="A3" activePane="bottomLeft" state="frozen"/>
      <selection pane="bottomLeft" activeCell="E16" sqref="E16"/>
    </sheetView>
  </sheetViews>
  <sheetFormatPr baseColWidth="10" defaultColWidth="8.6640625" defaultRowHeight="15" x14ac:dyDescent="0.2"/>
  <cols>
    <col min="1" max="1" width="24" customWidth="1"/>
    <col min="2" max="2" width="12" customWidth="1"/>
    <col min="3" max="4" width="18" customWidth="1"/>
    <col min="5" max="5" width="14" customWidth="1"/>
    <col min="6" max="6" width="18" customWidth="1"/>
    <col min="7" max="7" width="16" customWidth="1"/>
    <col min="8" max="8" width="18" customWidth="1"/>
    <col min="9" max="11" width="14" customWidth="1"/>
  </cols>
  <sheetData>
    <row r="1" spans="1:11" ht="27.75" customHeight="1" x14ac:dyDescent="0.2">
      <c r="A1" s="14" t="s">
        <v>147</v>
      </c>
      <c r="B1" s="14"/>
      <c r="C1" s="14"/>
      <c r="D1" s="14"/>
      <c r="E1" s="14"/>
      <c r="F1" s="14"/>
      <c r="G1" s="14"/>
      <c r="H1" s="14"/>
      <c r="I1" s="14"/>
      <c r="J1" s="14"/>
      <c r="K1" s="14"/>
    </row>
    <row r="3" spans="1:11" ht="15" customHeight="1" x14ac:dyDescent="0.2">
      <c r="A3" s="15" t="s">
        <v>148</v>
      </c>
      <c r="B3" s="15"/>
      <c r="C3" s="15"/>
      <c r="D3" s="15"/>
      <c r="E3" s="15"/>
      <c r="F3" s="15"/>
      <c r="G3" s="15"/>
      <c r="H3" s="15"/>
      <c r="I3" s="15"/>
      <c r="J3" s="15"/>
      <c r="K3" s="15"/>
    </row>
    <row r="4" spans="1:11" ht="15" customHeight="1" x14ac:dyDescent="0.2">
      <c r="A4" s="18" t="s">
        <v>149</v>
      </c>
      <c r="B4" s="18"/>
      <c r="C4" s="18"/>
      <c r="D4" s="18"/>
      <c r="E4" s="16" t="s">
        <v>150</v>
      </c>
      <c r="F4" s="16"/>
      <c r="G4" s="16"/>
      <c r="H4" s="16"/>
      <c r="I4" s="16"/>
      <c r="J4" s="16"/>
      <c r="K4" s="16"/>
    </row>
    <row r="5" spans="1:11" ht="15" customHeight="1" x14ac:dyDescent="0.2">
      <c r="A5" s="18" t="s">
        <v>151</v>
      </c>
      <c r="B5" s="18"/>
      <c r="C5" s="18"/>
      <c r="D5" s="18"/>
      <c r="E5" s="16" t="s">
        <v>152</v>
      </c>
      <c r="F5" s="16"/>
      <c r="G5" s="16"/>
      <c r="H5" s="16"/>
      <c r="I5" s="16"/>
      <c r="J5" s="16"/>
      <c r="K5" s="16"/>
    </row>
    <row r="6" spans="1:11" ht="15" customHeight="1" x14ac:dyDescent="0.2">
      <c r="A6" s="18" t="s">
        <v>153</v>
      </c>
      <c r="B6" s="18"/>
      <c r="C6" s="18"/>
      <c r="D6" s="18"/>
      <c r="E6" s="16" t="s">
        <v>154</v>
      </c>
      <c r="F6" s="16"/>
      <c r="G6" s="16"/>
      <c r="H6" s="16"/>
      <c r="I6" s="16"/>
      <c r="J6" s="16"/>
      <c r="K6" s="16"/>
    </row>
    <row r="7" spans="1:11" ht="15" customHeight="1" x14ac:dyDescent="0.2">
      <c r="A7" s="18" t="s">
        <v>155</v>
      </c>
      <c r="B7" s="18"/>
      <c r="C7" s="18"/>
      <c r="D7" s="18"/>
      <c r="E7" s="16" t="s">
        <v>156</v>
      </c>
      <c r="F7" s="16"/>
      <c r="G7" s="16"/>
      <c r="H7" s="16"/>
      <c r="I7" s="16"/>
      <c r="J7" s="16"/>
      <c r="K7" s="16"/>
    </row>
    <row r="8" spans="1:11" ht="15" customHeight="1" x14ac:dyDescent="0.2">
      <c r="A8" s="18" t="s">
        <v>157</v>
      </c>
      <c r="B8" s="18"/>
      <c r="C8" s="18"/>
      <c r="D8" s="18"/>
      <c r="E8" s="16" t="s">
        <v>158</v>
      </c>
      <c r="F8" s="16"/>
      <c r="G8" s="16"/>
      <c r="H8" s="16"/>
      <c r="I8" s="16"/>
      <c r="J8" s="16"/>
      <c r="K8" s="16"/>
    </row>
    <row r="9" spans="1:11" ht="15" customHeight="1" x14ac:dyDescent="0.2">
      <c r="A9" s="18" t="s">
        <v>159</v>
      </c>
      <c r="B9" s="18"/>
      <c r="C9" s="18"/>
      <c r="D9" s="18"/>
      <c r="E9" s="16" t="s">
        <v>160</v>
      </c>
      <c r="F9" s="16"/>
      <c r="G9" s="16"/>
      <c r="H9" s="16"/>
      <c r="I9" s="16"/>
      <c r="J9" s="16"/>
      <c r="K9" s="16"/>
    </row>
    <row r="10" spans="1:11" ht="15" customHeight="1" x14ac:dyDescent="0.2">
      <c r="A10" s="18" t="s">
        <v>161</v>
      </c>
      <c r="B10" s="18"/>
      <c r="C10" s="18"/>
      <c r="D10" s="18"/>
      <c r="E10" s="16" t="s">
        <v>162</v>
      </c>
      <c r="F10" s="16"/>
      <c r="G10" s="16"/>
      <c r="H10" s="16"/>
      <c r="I10" s="16"/>
      <c r="J10" s="16"/>
      <c r="K10" s="16"/>
    </row>
    <row r="11" spans="1:11" ht="15" customHeight="1" x14ac:dyDescent="0.2">
      <c r="A11" s="18" t="s">
        <v>163</v>
      </c>
      <c r="B11" s="18"/>
      <c r="C11" s="18"/>
      <c r="D11" s="18"/>
      <c r="E11" s="16" t="s">
        <v>164</v>
      </c>
      <c r="F11" s="16"/>
      <c r="G11" s="16"/>
      <c r="H11" s="16"/>
      <c r="I11" s="16"/>
      <c r="J11" s="16"/>
      <c r="K11" s="16"/>
    </row>
    <row r="12" spans="1:11" ht="15" customHeight="1" x14ac:dyDescent="0.2">
      <c r="A12" s="18" t="s">
        <v>165</v>
      </c>
      <c r="B12" s="18"/>
      <c r="C12" s="18"/>
      <c r="D12" s="18"/>
      <c r="E12" s="16" t="s">
        <v>166</v>
      </c>
      <c r="F12" s="16"/>
      <c r="G12" s="16"/>
      <c r="H12" s="16"/>
      <c r="I12" s="16"/>
      <c r="J12" s="16"/>
      <c r="K12" s="16"/>
    </row>
    <row r="15" spans="1:11" ht="15" customHeight="1" x14ac:dyDescent="0.2">
      <c r="A15" s="15" t="s">
        <v>167</v>
      </c>
      <c r="B15" s="15"/>
      <c r="C15" s="15"/>
      <c r="D15" s="15"/>
      <c r="E15" s="15"/>
      <c r="F15" s="15"/>
      <c r="G15" s="15"/>
      <c r="H15" s="15"/>
      <c r="I15" s="15"/>
      <c r="J15" s="15"/>
      <c r="K15" s="15"/>
    </row>
    <row r="16" spans="1:11" ht="49.5" customHeight="1" x14ac:dyDescent="0.2">
      <c r="A16" s="3" t="s">
        <v>168</v>
      </c>
      <c r="B16" s="3" t="s">
        <v>169</v>
      </c>
      <c r="C16" s="3" t="s">
        <v>170</v>
      </c>
      <c r="D16" s="3" t="s">
        <v>171</v>
      </c>
      <c r="E16" s="3" t="s">
        <v>172</v>
      </c>
      <c r="F16" s="3" t="s">
        <v>173</v>
      </c>
      <c r="G16" s="3" t="s">
        <v>174</v>
      </c>
      <c r="H16" s="3" t="s">
        <v>175</v>
      </c>
      <c r="I16" s="3" t="s">
        <v>176</v>
      </c>
      <c r="J16" s="3" t="s">
        <v>177</v>
      </c>
      <c r="K16" s="3" t="s">
        <v>178</v>
      </c>
    </row>
    <row r="17" spans="1:11" x14ac:dyDescent="0.2">
      <c r="A17" s="4" t="s">
        <v>179</v>
      </c>
      <c r="B17" s="1" t="s">
        <v>180</v>
      </c>
      <c r="C17" s="1">
        <v>0.6</v>
      </c>
      <c r="D17" s="1">
        <v>0.6</v>
      </c>
      <c r="E17" s="1">
        <v>0.6</v>
      </c>
      <c r="F17" s="1">
        <v>0.6</v>
      </c>
      <c r="G17" s="1">
        <v>0.6</v>
      </c>
      <c r="H17" s="1">
        <v>0.6</v>
      </c>
      <c r="I17" s="1">
        <v>0.6</v>
      </c>
      <c r="J17" s="1">
        <v>0.6</v>
      </c>
      <c r="K17" s="1">
        <v>0.6</v>
      </c>
    </row>
    <row r="18" spans="1:11" x14ac:dyDescent="0.2">
      <c r="A18" s="4" t="s">
        <v>181</v>
      </c>
      <c r="B18" s="1" t="s">
        <v>180</v>
      </c>
      <c r="C18" s="1">
        <v>18.5</v>
      </c>
      <c r="D18" s="1">
        <v>17</v>
      </c>
      <c r="E18" s="1">
        <v>10</v>
      </c>
      <c r="F18" s="1">
        <v>18.5</v>
      </c>
      <c r="G18" s="1">
        <v>10</v>
      </c>
      <c r="H18" s="1">
        <v>12</v>
      </c>
      <c r="I18" s="1">
        <v>16</v>
      </c>
      <c r="J18" s="1">
        <v>14</v>
      </c>
      <c r="K18" s="1">
        <v>14.5</v>
      </c>
    </row>
    <row r="19" spans="1:11" ht="28" x14ac:dyDescent="0.2">
      <c r="A19" s="4" t="s">
        <v>182</v>
      </c>
      <c r="B19" s="1" t="s">
        <v>183</v>
      </c>
      <c r="C19" s="1" t="s">
        <v>184</v>
      </c>
      <c r="D19" s="1" t="s">
        <v>184</v>
      </c>
      <c r="E19" s="1" t="s">
        <v>184</v>
      </c>
      <c r="F19" s="1" t="s">
        <v>185</v>
      </c>
      <c r="G19" s="1" t="s">
        <v>184</v>
      </c>
      <c r="H19" s="1" t="s">
        <v>184</v>
      </c>
      <c r="I19" s="1" t="s">
        <v>184</v>
      </c>
      <c r="J19" s="1" t="s">
        <v>184</v>
      </c>
      <c r="K19" s="1" t="s">
        <v>184</v>
      </c>
    </row>
    <row r="20" spans="1:11" x14ac:dyDescent="0.2">
      <c r="A20" s="4" t="s">
        <v>186</v>
      </c>
      <c r="B20" s="1" t="s">
        <v>187</v>
      </c>
      <c r="C20" s="1" t="s">
        <v>188</v>
      </c>
      <c r="D20" s="1" t="s">
        <v>188</v>
      </c>
      <c r="E20" s="1" t="s">
        <v>188</v>
      </c>
      <c r="F20" s="1" t="s">
        <v>188</v>
      </c>
      <c r="G20" s="1" t="s">
        <v>188</v>
      </c>
      <c r="H20" s="1" t="s">
        <v>188</v>
      </c>
      <c r="I20" s="1" t="s">
        <v>188</v>
      </c>
      <c r="J20" s="1" t="s">
        <v>188</v>
      </c>
      <c r="K20" s="1" t="s">
        <v>188</v>
      </c>
    </row>
    <row r="22" spans="1:11" x14ac:dyDescent="0.2">
      <c r="A22" s="19" t="s">
        <v>189</v>
      </c>
      <c r="B22" s="19"/>
      <c r="C22" s="19"/>
      <c r="D22" s="19"/>
      <c r="E22" s="19"/>
      <c r="F22" s="19"/>
      <c r="G22" s="19"/>
      <c r="H22" s="19"/>
      <c r="I22" s="19"/>
      <c r="J22" s="19"/>
      <c r="K22" s="19"/>
    </row>
    <row r="23" spans="1:11" ht="15" customHeight="1" x14ac:dyDescent="0.2">
      <c r="A23" s="21" t="s">
        <v>190</v>
      </c>
      <c r="B23" s="21"/>
      <c r="C23" s="21"/>
      <c r="D23" s="21"/>
      <c r="E23" s="21"/>
      <c r="F23" s="21"/>
      <c r="G23" s="21"/>
      <c r="H23" s="21"/>
      <c r="I23" s="21"/>
      <c r="J23" s="21"/>
      <c r="K23" s="21"/>
    </row>
    <row r="24" spans="1:11" ht="15" customHeight="1" x14ac:dyDescent="0.2">
      <c r="A24" s="21" t="s">
        <v>191</v>
      </c>
      <c r="B24" s="21"/>
      <c r="C24" s="21"/>
      <c r="D24" s="21"/>
      <c r="E24" s="21"/>
      <c r="F24" s="21"/>
      <c r="G24" s="21"/>
      <c r="H24" s="21"/>
      <c r="I24" s="21"/>
      <c r="J24" s="21"/>
      <c r="K24" s="21"/>
    </row>
    <row r="25" spans="1:11" ht="15" customHeight="1" x14ac:dyDescent="0.2">
      <c r="A25" s="21" t="s">
        <v>192</v>
      </c>
      <c r="B25" s="21"/>
      <c r="C25" s="21"/>
      <c r="D25" s="21"/>
      <c r="E25" s="21"/>
      <c r="F25" s="21"/>
      <c r="G25" s="21"/>
      <c r="H25" s="21"/>
      <c r="I25" s="21"/>
      <c r="J25" s="21"/>
      <c r="K25" s="21"/>
    </row>
    <row r="26" spans="1:11" ht="15" customHeight="1" x14ac:dyDescent="0.2">
      <c r="A26" s="21" t="s">
        <v>193</v>
      </c>
      <c r="B26" s="21"/>
      <c r="C26" s="21"/>
      <c r="D26" s="21"/>
      <c r="E26" s="21"/>
      <c r="F26" s="21"/>
      <c r="G26" s="21"/>
      <c r="H26" s="21"/>
      <c r="I26" s="21"/>
      <c r="J26" s="21"/>
      <c r="K26" s="21"/>
    </row>
    <row r="27" spans="1:11" ht="15" customHeight="1" x14ac:dyDescent="0.2">
      <c r="A27" s="21" t="s">
        <v>194</v>
      </c>
      <c r="B27" s="21"/>
      <c r="C27" s="21"/>
      <c r="D27" s="21"/>
      <c r="E27" s="21"/>
      <c r="F27" s="21"/>
      <c r="G27" s="21"/>
      <c r="H27" s="21"/>
      <c r="I27" s="21"/>
      <c r="J27" s="21"/>
      <c r="K27" s="21"/>
    </row>
    <row r="28" spans="1:11" ht="15" customHeight="1" x14ac:dyDescent="0.2">
      <c r="A28" s="21" t="s">
        <v>195</v>
      </c>
      <c r="B28" s="21"/>
      <c r="C28" s="21"/>
      <c r="D28" s="21"/>
      <c r="E28" s="21"/>
      <c r="F28" s="21"/>
      <c r="G28" s="21"/>
      <c r="H28" s="21"/>
      <c r="I28" s="21"/>
      <c r="J28" s="21"/>
      <c r="K28" s="21"/>
    </row>
    <row r="30" spans="1:11" ht="15" customHeight="1" x14ac:dyDescent="0.2">
      <c r="A30" s="15" t="s">
        <v>196</v>
      </c>
      <c r="B30" s="15"/>
      <c r="C30" s="15"/>
      <c r="D30" s="15"/>
      <c r="E30" s="15"/>
      <c r="F30" s="15"/>
      <c r="G30" s="15"/>
      <c r="H30" s="15"/>
      <c r="I30" s="15"/>
      <c r="J30" s="15"/>
      <c r="K30" s="15"/>
    </row>
    <row r="31" spans="1:11" ht="15" customHeight="1" x14ac:dyDescent="0.2">
      <c r="A31" s="5" t="s">
        <v>197</v>
      </c>
      <c r="B31" s="16" t="s">
        <v>198</v>
      </c>
      <c r="C31" s="16"/>
      <c r="D31" s="16"/>
      <c r="E31" s="16"/>
      <c r="F31" s="16"/>
      <c r="G31" s="16"/>
      <c r="H31" s="16"/>
      <c r="I31" s="16"/>
      <c r="J31" s="16"/>
      <c r="K31" s="16"/>
    </row>
    <row r="32" spans="1:11" ht="23.75" customHeight="1" x14ac:dyDescent="0.2">
      <c r="A32" s="5" t="s">
        <v>199</v>
      </c>
      <c r="B32" s="16" t="s">
        <v>200</v>
      </c>
      <c r="C32" s="16"/>
      <c r="D32" s="16"/>
      <c r="E32" s="16"/>
      <c r="F32" s="16"/>
      <c r="G32" s="16"/>
      <c r="H32" s="16"/>
      <c r="I32" s="16"/>
      <c r="J32" s="16"/>
      <c r="K32" s="16"/>
    </row>
    <row r="33" spans="1:11" ht="15" customHeight="1" x14ac:dyDescent="0.2">
      <c r="A33" s="5" t="s">
        <v>201</v>
      </c>
      <c r="B33" s="16" t="s">
        <v>202</v>
      </c>
      <c r="C33" s="16"/>
      <c r="D33" s="16"/>
      <c r="E33" s="16"/>
      <c r="F33" s="16"/>
      <c r="G33" s="16"/>
      <c r="H33" s="16"/>
      <c r="I33" s="16"/>
      <c r="J33" s="16"/>
      <c r="K33" s="16"/>
    </row>
    <row r="34" spans="1:11" ht="15" customHeight="1" x14ac:dyDescent="0.2">
      <c r="A34" s="5" t="s">
        <v>203</v>
      </c>
      <c r="B34" s="16" t="s">
        <v>204</v>
      </c>
      <c r="C34" s="16"/>
      <c r="D34" s="16"/>
      <c r="E34" s="16"/>
      <c r="F34" s="16"/>
      <c r="G34" s="16"/>
      <c r="H34" s="16"/>
      <c r="I34" s="16"/>
      <c r="J34" s="16"/>
      <c r="K34" s="16"/>
    </row>
    <row r="35" spans="1:11" ht="23.75" customHeight="1" x14ac:dyDescent="0.2">
      <c r="A35" s="5" t="s">
        <v>205</v>
      </c>
      <c r="B35" s="16" t="s">
        <v>206</v>
      </c>
      <c r="C35" s="16"/>
      <c r="D35" s="16"/>
      <c r="E35" s="16"/>
      <c r="F35" s="16"/>
      <c r="G35" s="16"/>
      <c r="H35" s="16"/>
      <c r="I35" s="16"/>
      <c r="J35" s="16"/>
      <c r="K35" s="16"/>
    </row>
    <row r="36" spans="1:11" ht="15" customHeight="1" x14ac:dyDescent="0.2">
      <c r="A36" s="5" t="s">
        <v>207</v>
      </c>
      <c r="B36" s="16" t="s">
        <v>208</v>
      </c>
      <c r="C36" s="16"/>
      <c r="D36" s="16"/>
      <c r="E36" s="16"/>
      <c r="F36" s="16"/>
      <c r="G36" s="16"/>
      <c r="H36" s="16"/>
      <c r="I36" s="16"/>
      <c r="J36" s="16"/>
      <c r="K36" s="16"/>
    </row>
  </sheetData>
  <mergeCells count="35">
    <mergeCell ref="B35:K35"/>
    <mergeCell ref="B36:K36"/>
    <mergeCell ref="A30:K30"/>
    <mergeCell ref="B31:K31"/>
    <mergeCell ref="B32:K32"/>
    <mergeCell ref="B33:K33"/>
    <mergeCell ref="B34:K34"/>
    <mergeCell ref="A24:K24"/>
    <mergeCell ref="A25:K25"/>
    <mergeCell ref="A26:K26"/>
    <mergeCell ref="A27:K27"/>
    <mergeCell ref="A28:K28"/>
    <mergeCell ref="A12:D12"/>
    <mergeCell ref="E12:K12"/>
    <mergeCell ref="A15:K15"/>
    <mergeCell ref="A22:K22"/>
    <mergeCell ref="A23:K23"/>
    <mergeCell ref="A9:D9"/>
    <mergeCell ref="E9:K9"/>
    <mergeCell ref="A10:D10"/>
    <mergeCell ref="E10:K10"/>
    <mergeCell ref="A11:D11"/>
    <mergeCell ref="E11:K11"/>
    <mergeCell ref="A6:D6"/>
    <mergeCell ref="E6:K6"/>
    <mergeCell ref="A7:D7"/>
    <mergeCell ref="E7:K7"/>
    <mergeCell ref="A8:D8"/>
    <mergeCell ref="E8:K8"/>
    <mergeCell ref="A1:K1"/>
    <mergeCell ref="A3:K3"/>
    <mergeCell ref="A4:D4"/>
    <mergeCell ref="E4:K4"/>
    <mergeCell ref="A5:D5"/>
    <mergeCell ref="E5:K5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318"/>
  <sheetViews>
    <sheetView showGridLines="0" zoomScale="140" zoomScaleNormal="140" workbookViewId="0">
      <pane ySplit="2" topLeftCell="A3" activePane="bottomLeft" state="frozen"/>
      <selection pane="bottomLeft" activeCell="C14" sqref="C14:H14"/>
    </sheetView>
  </sheetViews>
  <sheetFormatPr baseColWidth="10" defaultColWidth="8.6640625" defaultRowHeight="15" x14ac:dyDescent="0.2"/>
  <cols>
    <col min="1" max="1" width="12" customWidth="1"/>
    <col min="2" max="9" width="14" customWidth="1"/>
    <col min="10" max="10" width="12" customWidth="1"/>
  </cols>
  <sheetData>
    <row r="1" spans="1:10" ht="27.75" customHeight="1" x14ac:dyDescent="0.2">
      <c r="A1" s="14" t="s">
        <v>209</v>
      </c>
      <c r="B1" s="14"/>
      <c r="C1" s="14"/>
      <c r="D1" s="14"/>
      <c r="E1" s="14"/>
      <c r="F1" s="14"/>
      <c r="G1" s="14"/>
      <c r="H1" s="14"/>
      <c r="I1" s="14"/>
      <c r="J1" s="14"/>
    </row>
    <row r="3" spans="1:10" ht="15" customHeight="1" x14ac:dyDescent="0.2">
      <c r="A3" s="15" t="s">
        <v>210</v>
      </c>
      <c r="B3" s="15"/>
      <c r="C3" s="15"/>
      <c r="D3" s="15"/>
      <c r="E3" s="15"/>
      <c r="F3" s="15"/>
      <c r="G3" s="15"/>
      <c r="H3" s="15"/>
    </row>
    <row r="4" spans="1:10" ht="15" customHeight="1" x14ac:dyDescent="0.2">
      <c r="A4" s="3" t="s">
        <v>211</v>
      </c>
      <c r="B4" s="17" t="s">
        <v>212</v>
      </c>
      <c r="C4" s="17"/>
      <c r="D4" s="3" t="s">
        <v>213</v>
      </c>
    </row>
    <row r="5" spans="1:10" ht="23.75" customHeight="1" x14ac:dyDescent="0.2">
      <c r="A5" s="1" t="s">
        <v>214</v>
      </c>
      <c r="B5" s="22" t="s">
        <v>215</v>
      </c>
      <c r="C5" s="22"/>
      <c r="D5" s="1">
        <v>0.45</v>
      </c>
      <c r="E5" s="1" t="s">
        <v>216</v>
      </c>
    </row>
    <row r="6" spans="1:10" ht="23.75" customHeight="1" x14ac:dyDescent="0.2">
      <c r="A6" s="1" t="s">
        <v>217</v>
      </c>
      <c r="B6" s="22" t="s">
        <v>218</v>
      </c>
      <c r="C6" s="22"/>
      <c r="D6" s="1">
        <v>0.61</v>
      </c>
      <c r="E6" s="1" t="s">
        <v>216</v>
      </c>
    </row>
    <row r="7" spans="1:10" ht="23.75" customHeight="1" x14ac:dyDescent="0.2">
      <c r="A7" s="1" t="s">
        <v>219</v>
      </c>
      <c r="B7" s="22" t="s">
        <v>220</v>
      </c>
      <c r="C7" s="22"/>
      <c r="D7" s="1">
        <v>0.36</v>
      </c>
      <c r="E7" s="1" t="s">
        <v>216</v>
      </c>
    </row>
    <row r="8" spans="1:10" ht="23.75" customHeight="1" x14ac:dyDescent="0.2">
      <c r="A8" s="1" t="s">
        <v>221</v>
      </c>
      <c r="B8" s="22" t="s">
        <v>222</v>
      </c>
      <c r="C8" s="22"/>
      <c r="D8" s="1">
        <v>0.25</v>
      </c>
      <c r="E8" s="1" t="s">
        <v>216</v>
      </c>
    </row>
    <row r="10" spans="1:10" ht="36" customHeight="1" x14ac:dyDescent="0.2">
      <c r="A10" s="23" t="s">
        <v>223</v>
      </c>
      <c r="B10" s="23"/>
      <c r="C10" s="23"/>
      <c r="D10" s="23"/>
      <c r="E10" s="23"/>
      <c r="F10" s="23"/>
      <c r="G10" s="23"/>
      <c r="H10" s="23"/>
    </row>
    <row r="12" spans="1:10" ht="15" customHeight="1" x14ac:dyDescent="0.2">
      <c r="A12" s="15" t="s">
        <v>224</v>
      </c>
      <c r="B12" s="15"/>
      <c r="C12" s="15"/>
      <c r="D12" s="15"/>
      <c r="E12" s="15"/>
      <c r="F12" s="15"/>
      <c r="G12" s="15"/>
      <c r="H12" s="15"/>
    </row>
    <row r="13" spans="1:10" ht="15" customHeight="1" x14ac:dyDescent="0.2">
      <c r="A13" s="18" t="s">
        <v>225</v>
      </c>
      <c r="B13" s="18"/>
      <c r="C13" s="16" t="s">
        <v>226</v>
      </c>
      <c r="D13" s="16"/>
      <c r="E13" s="16"/>
      <c r="F13" s="16"/>
      <c r="G13" s="16"/>
      <c r="H13" s="16"/>
    </row>
    <row r="14" spans="1:10" ht="15" customHeight="1" x14ac:dyDescent="0.2">
      <c r="A14" s="18" t="s">
        <v>227</v>
      </c>
      <c r="B14" s="18"/>
      <c r="C14" s="16" t="s">
        <v>228</v>
      </c>
      <c r="D14" s="16"/>
      <c r="E14" s="16"/>
      <c r="F14" s="16"/>
      <c r="G14" s="16"/>
      <c r="H14" s="16"/>
    </row>
    <row r="15" spans="1:10" ht="15" customHeight="1" x14ac:dyDescent="0.2">
      <c r="A15" s="18" t="s">
        <v>229</v>
      </c>
      <c r="B15" s="18"/>
      <c r="C15" s="16" t="s">
        <v>230</v>
      </c>
      <c r="D15" s="16"/>
      <c r="E15" s="16"/>
      <c r="F15" s="16"/>
      <c r="G15" s="16"/>
      <c r="H15" s="16"/>
    </row>
    <row r="16" spans="1:10" ht="15" customHeight="1" x14ac:dyDescent="0.2">
      <c r="A16" s="18" t="s">
        <v>231</v>
      </c>
      <c r="B16" s="18"/>
      <c r="C16" s="16" t="s">
        <v>232</v>
      </c>
      <c r="D16" s="16"/>
      <c r="E16" s="16"/>
      <c r="F16" s="16"/>
      <c r="G16" s="16"/>
      <c r="H16" s="16"/>
    </row>
    <row r="17" spans="1:10" ht="15" customHeight="1" x14ac:dyDescent="0.2">
      <c r="A17" s="18" t="s">
        <v>233</v>
      </c>
      <c r="B17" s="18"/>
      <c r="C17" s="16" t="s">
        <v>234</v>
      </c>
      <c r="D17" s="16"/>
      <c r="E17" s="16"/>
      <c r="F17" s="16"/>
      <c r="G17" s="16"/>
      <c r="H17" s="16"/>
    </row>
    <row r="18" spans="1:10" ht="15" customHeight="1" x14ac:dyDescent="0.2">
      <c r="A18" s="18" t="s">
        <v>235</v>
      </c>
      <c r="B18" s="18"/>
      <c r="C18" s="16" t="s">
        <v>236</v>
      </c>
      <c r="D18" s="16"/>
      <c r="E18" s="16"/>
      <c r="F18" s="16"/>
      <c r="G18" s="16"/>
      <c r="H18" s="16"/>
    </row>
    <row r="19" spans="1:10" ht="15" customHeight="1" x14ac:dyDescent="0.2">
      <c r="A19" s="18" t="s">
        <v>237</v>
      </c>
      <c r="B19" s="18"/>
      <c r="C19" s="16" t="s">
        <v>238</v>
      </c>
      <c r="D19" s="16"/>
      <c r="E19" s="16"/>
      <c r="F19" s="16"/>
      <c r="G19" s="16"/>
      <c r="H19" s="16"/>
    </row>
    <row r="20" spans="1:10" ht="15" customHeight="1" x14ac:dyDescent="0.2">
      <c r="A20" s="18" t="s">
        <v>239</v>
      </c>
      <c r="B20" s="18"/>
      <c r="C20" s="16" t="s">
        <v>240</v>
      </c>
      <c r="D20" s="16"/>
      <c r="E20" s="16"/>
      <c r="F20" s="16"/>
      <c r="G20" s="16"/>
      <c r="H20" s="16"/>
    </row>
    <row r="21" spans="1:10" ht="15" customHeight="1" x14ac:dyDescent="0.2">
      <c r="A21" s="18" t="s">
        <v>241</v>
      </c>
      <c r="B21" s="18"/>
      <c r="C21" s="16" t="s">
        <v>242</v>
      </c>
      <c r="D21" s="16"/>
      <c r="E21" s="16"/>
      <c r="F21" s="16"/>
      <c r="G21" s="16"/>
      <c r="H21" s="16"/>
    </row>
    <row r="22" spans="1:10" ht="15" customHeight="1" x14ac:dyDescent="0.2">
      <c r="A22" s="18" t="s">
        <v>243</v>
      </c>
      <c r="B22" s="18"/>
      <c r="C22" s="16" t="s">
        <v>244</v>
      </c>
      <c r="D22" s="16"/>
      <c r="E22" s="16"/>
      <c r="F22" s="16"/>
      <c r="G22" s="16"/>
      <c r="H22" s="16"/>
    </row>
    <row r="23" spans="1:10" ht="15" customHeight="1" x14ac:dyDescent="0.2">
      <c r="A23" s="18" t="s">
        <v>245</v>
      </c>
      <c r="B23" s="18"/>
      <c r="C23" s="16" t="s">
        <v>246</v>
      </c>
      <c r="D23" s="16"/>
      <c r="E23" s="16"/>
      <c r="F23" s="16"/>
      <c r="G23" s="16"/>
      <c r="H23" s="16"/>
    </row>
    <row r="24" spans="1:10" ht="15" customHeight="1" x14ac:dyDescent="0.2">
      <c r="A24" s="18" t="s">
        <v>247</v>
      </c>
      <c r="B24" s="18"/>
      <c r="C24" s="16" t="s">
        <v>248</v>
      </c>
      <c r="D24" s="16"/>
      <c r="E24" s="16"/>
      <c r="F24" s="16"/>
      <c r="G24" s="16"/>
      <c r="H24" s="16"/>
    </row>
    <row r="26" spans="1:10" ht="31.5" customHeight="1" x14ac:dyDescent="0.2">
      <c r="A26" s="3" t="s">
        <v>249</v>
      </c>
      <c r="B26" s="3" t="s">
        <v>250</v>
      </c>
      <c r="C26" s="3" t="s">
        <v>251</v>
      </c>
      <c r="D26" s="3" t="s">
        <v>252</v>
      </c>
      <c r="E26" s="3" t="s">
        <v>253</v>
      </c>
      <c r="F26" s="3" t="s">
        <v>254</v>
      </c>
      <c r="G26" s="3" t="s">
        <v>255</v>
      </c>
      <c r="H26" s="3" t="s">
        <v>256</v>
      </c>
      <c r="I26" s="3" t="s">
        <v>257</v>
      </c>
      <c r="J26" s="3" t="s">
        <v>258</v>
      </c>
    </row>
    <row r="27" spans="1:10" x14ac:dyDescent="0.2">
      <c r="A27" s="1" t="s">
        <v>259</v>
      </c>
      <c r="B27" s="1">
        <v>0</v>
      </c>
      <c r="C27" s="1" t="s">
        <v>260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36</v>
      </c>
    </row>
    <row r="28" spans="1:10" x14ac:dyDescent="0.2">
      <c r="A28" s="1" t="s">
        <v>259</v>
      </c>
      <c r="B28" s="1">
        <v>0</v>
      </c>
      <c r="C28" s="1" t="s">
        <v>261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36</v>
      </c>
    </row>
    <row r="29" spans="1:10" x14ac:dyDescent="0.2">
      <c r="A29" s="1" t="s">
        <v>259</v>
      </c>
      <c r="B29" s="1">
        <v>0</v>
      </c>
      <c r="C29" s="1" t="s">
        <v>262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36</v>
      </c>
    </row>
    <row r="30" spans="1:10" x14ac:dyDescent="0.2">
      <c r="A30" s="1" t="s">
        <v>259</v>
      </c>
      <c r="B30" s="1">
        <v>0</v>
      </c>
      <c r="C30" s="1" t="s">
        <v>263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36</v>
      </c>
    </row>
    <row r="31" spans="1:10" x14ac:dyDescent="0.2">
      <c r="A31" s="1" t="s">
        <v>259</v>
      </c>
      <c r="B31" s="1">
        <v>0</v>
      </c>
      <c r="C31" s="1" t="s">
        <v>264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36</v>
      </c>
    </row>
    <row r="32" spans="1:10" x14ac:dyDescent="0.2">
      <c r="A32" s="1" t="s">
        <v>259</v>
      </c>
      <c r="B32" s="1">
        <v>0</v>
      </c>
      <c r="C32" s="1" t="s">
        <v>265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36</v>
      </c>
    </row>
    <row r="33" spans="1:10" x14ac:dyDescent="0.2">
      <c r="A33" s="1" t="s">
        <v>259</v>
      </c>
      <c r="B33" s="1">
        <v>37.5</v>
      </c>
      <c r="C33" s="1" t="s">
        <v>266</v>
      </c>
      <c r="D33" s="1">
        <v>31.4</v>
      </c>
      <c r="E33" s="1">
        <v>5</v>
      </c>
      <c r="F33" s="1">
        <v>6</v>
      </c>
      <c r="G33" s="1">
        <v>7</v>
      </c>
      <c r="H33" s="1">
        <v>6</v>
      </c>
      <c r="I33" s="1">
        <v>0.06</v>
      </c>
      <c r="J33" s="1">
        <v>36</v>
      </c>
    </row>
    <row r="34" spans="1:10" x14ac:dyDescent="0.2">
      <c r="A34" s="1" t="s">
        <v>259</v>
      </c>
      <c r="B34" s="1">
        <v>37.5</v>
      </c>
      <c r="C34" s="1" t="s">
        <v>267</v>
      </c>
      <c r="D34" s="1">
        <v>31.4</v>
      </c>
      <c r="E34" s="1">
        <v>5</v>
      </c>
      <c r="F34" s="1">
        <v>6</v>
      </c>
      <c r="G34" s="1">
        <v>7</v>
      </c>
      <c r="H34" s="1">
        <v>6</v>
      </c>
      <c r="I34" s="1">
        <v>0.06</v>
      </c>
      <c r="J34" s="1">
        <v>36</v>
      </c>
    </row>
    <row r="35" spans="1:10" x14ac:dyDescent="0.2">
      <c r="A35" s="1" t="s">
        <v>259</v>
      </c>
      <c r="B35" s="1">
        <v>37.5</v>
      </c>
      <c r="C35" s="1" t="s">
        <v>268</v>
      </c>
      <c r="D35" s="1">
        <v>31.4</v>
      </c>
      <c r="E35" s="1">
        <v>5</v>
      </c>
      <c r="F35" s="1">
        <v>6</v>
      </c>
      <c r="G35" s="1">
        <v>7</v>
      </c>
      <c r="H35" s="1">
        <v>6</v>
      </c>
      <c r="I35" s="1">
        <v>0.06</v>
      </c>
      <c r="J35" s="1">
        <v>36</v>
      </c>
    </row>
    <row r="36" spans="1:10" x14ac:dyDescent="0.2">
      <c r="A36" s="1" t="s">
        <v>259</v>
      </c>
      <c r="B36" s="1">
        <v>37.5</v>
      </c>
      <c r="C36" s="1" t="s">
        <v>269</v>
      </c>
      <c r="D36" s="1">
        <v>31.4</v>
      </c>
      <c r="E36" s="1">
        <v>5</v>
      </c>
      <c r="F36" s="1">
        <v>6</v>
      </c>
      <c r="G36" s="1">
        <v>7</v>
      </c>
      <c r="H36" s="1">
        <v>6</v>
      </c>
      <c r="I36" s="1">
        <v>0.06</v>
      </c>
      <c r="J36" s="1">
        <v>36</v>
      </c>
    </row>
    <row r="37" spans="1:10" x14ac:dyDescent="0.2">
      <c r="A37" s="1" t="s">
        <v>259</v>
      </c>
      <c r="B37" s="1">
        <v>37.5</v>
      </c>
      <c r="C37" s="1" t="s">
        <v>270</v>
      </c>
      <c r="D37" s="1">
        <v>31.4</v>
      </c>
      <c r="E37" s="1">
        <v>5</v>
      </c>
      <c r="F37" s="1">
        <v>6</v>
      </c>
      <c r="G37" s="1">
        <v>7</v>
      </c>
      <c r="H37" s="1">
        <v>6</v>
      </c>
      <c r="I37" s="1">
        <v>0.06</v>
      </c>
      <c r="J37" s="1">
        <v>36</v>
      </c>
    </row>
    <row r="38" spans="1:10" x14ac:dyDescent="0.2">
      <c r="A38" s="1" t="s">
        <v>259</v>
      </c>
      <c r="B38" s="1">
        <v>37.5</v>
      </c>
      <c r="C38" s="1" t="s">
        <v>271</v>
      </c>
      <c r="D38" s="1">
        <v>31.4</v>
      </c>
      <c r="E38" s="1">
        <v>5</v>
      </c>
      <c r="F38" s="1">
        <v>6</v>
      </c>
      <c r="G38" s="1">
        <v>7</v>
      </c>
      <c r="H38" s="1">
        <v>6</v>
      </c>
      <c r="I38" s="1">
        <v>0.06</v>
      </c>
      <c r="J38" s="1">
        <v>36</v>
      </c>
    </row>
    <row r="39" spans="1:10" x14ac:dyDescent="0.2">
      <c r="A39" s="1" t="s">
        <v>259</v>
      </c>
      <c r="B39" s="1">
        <v>75</v>
      </c>
      <c r="C39" s="1" t="s">
        <v>272</v>
      </c>
      <c r="D39" s="1">
        <v>62.67</v>
      </c>
      <c r="E39" s="1">
        <v>8</v>
      </c>
      <c r="F39" s="1">
        <v>9</v>
      </c>
      <c r="G39" s="1">
        <v>10</v>
      </c>
      <c r="H39" s="1">
        <v>9</v>
      </c>
      <c r="I39" s="1">
        <v>0.09</v>
      </c>
      <c r="J39" s="1">
        <v>37</v>
      </c>
    </row>
    <row r="40" spans="1:10" x14ac:dyDescent="0.2">
      <c r="A40" s="1" t="s">
        <v>259</v>
      </c>
      <c r="B40" s="1">
        <v>75</v>
      </c>
      <c r="C40" s="1" t="s">
        <v>273</v>
      </c>
      <c r="D40" s="1">
        <v>62.67</v>
      </c>
      <c r="E40" s="1">
        <v>8</v>
      </c>
      <c r="F40" s="1">
        <v>9</v>
      </c>
      <c r="G40" s="1">
        <v>10</v>
      </c>
      <c r="H40" s="1">
        <v>9</v>
      </c>
      <c r="I40" s="1">
        <v>0.09</v>
      </c>
      <c r="J40" s="1">
        <v>37</v>
      </c>
    </row>
    <row r="41" spans="1:10" x14ac:dyDescent="0.2">
      <c r="A41" s="1" t="s">
        <v>259</v>
      </c>
      <c r="B41" s="1">
        <v>75</v>
      </c>
      <c r="C41" s="1" t="s">
        <v>274</v>
      </c>
      <c r="D41" s="1">
        <v>62.67</v>
      </c>
      <c r="E41" s="1">
        <v>8</v>
      </c>
      <c r="F41" s="1">
        <v>9</v>
      </c>
      <c r="G41" s="1">
        <v>10</v>
      </c>
      <c r="H41" s="1">
        <v>9</v>
      </c>
      <c r="I41" s="1">
        <v>0.09</v>
      </c>
      <c r="J41" s="1">
        <v>37</v>
      </c>
    </row>
    <row r="42" spans="1:10" x14ac:dyDescent="0.2">
      <c r="A42" s="1" t="s">
        <v>259</v>
      </c>
      <c r="B42" s="1">
        <v>75</v>
      </c>
      <c r="C42" s="1" t="s">
        <v>275</v>
      </c>
      <c r="D42" s="1">
        <v>62.67</v>
      </c>
      <c r="E42" s="1">
        <v>8</v>
      </c>
      <c r="F42" s="1">
        <v>9</v>
      </c>
      <c r="G42" s="1">
        <v>10</v>
      </c>
      <c r="H42" s="1">
        <v>9</v>
      </c>
      <c r="I42" s="1">
        <v>0.09</v>
      </c>
      <c r="J42" s="1">
        <v>37</v>
      </c>
    </row>
    <row r="43" spans="1:10" x14ac:dyDescent="0.2">
      <c r="A43" s="1" t="s">
        <v>259</v>
      </c>
      <c r="B43" s="1">
        <v>75</v>
      </c>
      <c r="C43" s="1" t="s">
        <v>276</v>
      </c>
      <c r="D43" s="1">
        <v>62.67</v>
      </c>
      <c r="E43" s="1">
        <v>8</v>
      </c>
      <c r="F43" s="1">
        <v>9</v>
      </c>
      <c r="G43" s="1">
        <v>10</v>
      </c>
      <c r="H43" s="1">
        <v>9</v>
      </c>
      <c r="I43" s="1">
        <v>0.09</v>
      </c>
      <c r="J43" s="1">
        <v>37</v>
      </c>
    </row>
    <row r="44" spans="1:10" x14ac:dyDescent="0.2">
      <c r="A44" s="1" t="s">
        <v>259</v>
      </c>
      <c r="B44" s="1">
        <v>75</v>
      </c>
      <c r="C44" s="1" t="s">
        <v>277</v>
      </c>
      <c r="D44" s="1">
        <v>62.67</v>
      </c>
      <c r="E44" s="1">
        <v>8</v>
      </c>
      <c r="F44" s="1">
        <v>9</v>
      </c>
      <c r="G44" s="1">
        <v>10</v>
      </c>
      <c r="H44" s="1">
        <v>9</v>
      </c>
      <c r="I44" s="1">
        <v>0.09</v>
      </c>
      <c r="J44" s="1">
        <v>37</v>
      </c>
    </row>
    <row r="45" spans="1:10" x14ac:dyDescent="0.2">
      <c r="A45" s="1" t="s">
        <v>259</v>
      </c>
      <c r="B45" s="1">
        <v>112.5</v>
      </c>
      <c r="C45" s="1" t="s">
        <v>278</v>
      </c>
      <c r="D45" s="1">
        <v>94</v>
      </c>
      <c r="E45" s="1">
        <v>11</v>
      </c>
      <c r="F45" s="1">
        <v>12</v>
      </c>
      <c r="G45" s="1">
        <v>13</v>
      </c>
      <c r="H45" s="1">
        <v>12</v>
      </c>
      <c r="I45" s="1">
        <v>0.12</v>
      </c>
      <c r="J45" s="1">
        <v>37</v>
      </c>
    </row>
    <row r="46" spans="1:10" x14ac:dyDescent="0.2">
      <c r="A46" s="1" t="s">
        <v>259</v>
      </c>
      <c r="B46" s="1">
        <v>112.5</v>
      </c>
      <c r="C46" s="1" t="s">
        <v>279</v>
      </c>
      <c r="D46" s="1">
        <v>94</v>
      </c>
      <c r="E46" s="1">
        <v>11</v>
      </c>
      <c r="F46" s="1">
        <v>12</v>
      </c>
      <c r="G46" s="1">
        <v>13</v>
      </c>
      <c r="H46" s="1">
        <v>12</v>
      </c>
      <c r="I46" s="1">
        <v>0.12</v>
      </c>
      <c r="J46" s="1">
        <v>37</v>
      </c>
    </row>
    <row r="47" spans="1:10" x14ac:dyDescent="0.2">
      <c r="A47" s="1" t="s">
        <v>259</v>
      </c>
      <c r="B47" s="1">
        <v>112.5</v>
      </c>
      <c r="C47" s="1" t="s">
        <v>280</v>
      </c>
      <c r="D47" s="1">
        <v>94</v>
      </c>
      <c r="E47" s="1">
        <v>11</v>
      </c>
      <c r="F47" s="1">
        <v>12</v>
      </c>
      <c r="G47" s="1">
        <v>13</v>
      </c>
      <c r="H47" s="1">
        <v>12</v>
      </c>
      <c r="I47" s="1">
        <v>0.12</v>
      </c>
      <c r="J47" s="1">
        <v>37</v>
      </c>
    </row>
    <row r="48" spans="1:10" x14ac:dyDescent="0.2">
      <c r="A48" s="1" t="s">
        <v>259</v>
      </c>
      <c r="B48" s="1">
        <v>112.5</v>
      </c>
      <c r="C48" s="1" t="s">
        <v>281</v>
      </c>
      <c r="D48" s="1">
        <v>94</v>
      </c>
      <c r="E48" s="1">
        <v>11</v>
      </c>
      <c r="F48" s="1">
        <v>12</v>
      </c>
      <c r="G48" s="1">
        <v>13</v>
      </c>
      <c r="H48" s="1">
        <v>12</v>
      </c>
      <c r="I48" s="1">
        <v>0.12</v>
      </c>
      <c r="J48" s="1">
        <v>37</v>
      </c>
    </row>
    <row r="49" spans="1:10" x14ac:dyDescent="0.2">
      <c r="A49" s="1" t="s">
        <v>259</v>
      </c>
      <c r="B49" s="1">
        <v>112.5</v>
      </c>
      <c r="C49" s="1" t="s">
        <v>282</v>
      </c>
      <c r="D49" s="1">
        <v>94</v>
      </c>
      <c r="E49" s="1">
        <v>11</v>
      </c>
      <c r="F49" s="1">
        <v>12</v>
      </c>
      <c r="G49" s="1">
        <v>13</v>
      </c>
      <c r="H49" s="1">
        <v>12</v>
      </c>
      <c r="I49" s="1">
        <v>0.12</v>
      </c>
      <c r="J49" s="1">
        <v>37</v>
      </c>
    </row>
    <row r="50" spans="1:10" x14ac:dyDescent="0.2">
      <c r="A50" s="1" t="s">
        <v>259</v>
      </c>
      <c r="B50" s="1">
        <v>112.5</v>
      </c>
      <c r="C50" s="1" t="s">
        <v>283</v>
      </c>
      <c r="D50" s="1">
        <v>94</v>
      </c>
      <c r="E50" s="1">
        <v>11</v>
      </c>
      <c r="F50" s="1">
        <v>12</v>
      </c>
      <c r="G50" s="1">
        <v>13</v>
      </c>
      <c r="H50" s="1">
        <v>12</v>
      </c>
      <c r="I50" s="1">
        <v>0.12</v>
      </c>
      <c r="J50" s="1">
        <v>37</v>
      </c>
    </row>
    <row r="51" spans="1:10" x14ac:dyDescent="0.2">
      <c r="A51" s="1" t="s">
        <v>259</v>
      </c>
      <c r="B51" s="1">
        <v>150</v>
      </c>
      <c r="C51" s="1" t="s">
        <v>284</v>
      </c>
      <c r="D51" s="1">
        <v>125.3</v>
      </c>
      <c r="E51" s="1">
        <v>18</v>
      </c>
      <c r="F51" s="1">
        <v>19</v>
      </c>
      <c r="G51" s="1">
        <v>20</v>
      </c>
      <c r="H51" s="1">
        <v>19</v>
      </c>
      <c r="I51" s="1">
        <v>0.19</v>
      </c>
      <c r="J51" s="1">
        <v>37</v>
      </c>
    </row>
    <row r="52" spans="1:10" x14ac:dyDescent="0.2">
      <c r="A52" s="1" t="s">
        <v>259</v>
      </c>
      <c r="B52" s="1">
        <v>150</v>
      </c>
      <c r="C52" s="1" t="s">
        <v>285</v>
      </c>
      <c r="D52" s="1">
        <v>125.3</v>
      </c>
      <c r="E52" s="1">
        <v>18</v>
      </c>
      <c r="F52" s="1">
        <v>19</v>
      </c>
      <c r="G52" s="1">
        <v>20</v>
      </c>
      <c r="H52" s="1">
        <v>19</v>
      </c>
      <c r="I52" s="1">
        <v>0.19</v>
      </c>
      <c r="J52" s="1">
        <v>37</v>
      </c>
    </row>
    <row r="53" spans="1:10" x14ac:dyDescent="0.2">
      <c r="A53" s="1" t="s">
        <v>259</v>
      </c>
      <c r="B53" s="1">
        <v>150</v>
      </c>
      <c r="C53" s="1" t="s">
        <v>286</v>
      </c>
      <c r="D53" s="1">
        <v>125.3</v>
      </c>
      <c r="E53" s="1">
        <v>18</v>
      </c>
      <c r="F53" s="1">
        <v>19</v>
      </c>
      <c r="G53" s="1">
        <v>20</v>
      </c>
      <c r="H53" s="1">
        <v>19</v>
      </c>
      <c r="I53" s="1">
        <v>0.19</v>
      </c>
      <c r="J53" s="1">
        <v>37</v>
      </c>
    </row>
    <row r="54" spans="1:10" x14ac:dyDescent="0.2">
      <c r="A54" s="1" t="s">
        <v>259</v>
      </c>
      <c r="B54" s="1">
        <v>150</v>
      </c>
      <c r="C54" s="1" t="s">
        <v>287</v>
      </c>
      <c r="D54" s="1">
        <v>125.3</v>
      </c>
      <c r="E54" s="1">
        <v>18</v>
      </c>
      <c r="F54" s="1">
        <v>19</v>
      </c>
      <c r="G54" s="1">
        <v>20</v>
      </c>
      <c r="H54" s="1">
        <v>19</v>
      </c>
      <c r="I54" s="1">
        <v>0.19</v>
      </c>
      <c r="J54" s="1">
        <v>37</v>
      </c>
    </row>
    <row r="55" spans="1:10" x14ac:dyDescent="0.2">
      <c r="A55" s="1" t="s">
        <v>259</v>
      </c>
      <c r="B55" s="1">
        <v>150</v>
      </c>
      <c r="C55" s="1" t="s">
        <v>288</v>
      </c>
      <c r="D55" s="1">
        <v>125.3</v>
      </c>
      <c r="E55" s="1">
        <v>18</v>
      </c>
      <c r="F55" s="1">
        <v>19</v>
      </c>
      <c r="G55" s="1">
        <v>20</v>
      </c>
      <c r="H55" s="1">
        <v>19</v>
      </c>
      <c r="I55" s="1">
        <v>0.19</v>
      </c>
      <c r="J55" s="1">
        <v>37</v>
      </c>
    </row>
    <row r="56" spans="1:10" x14ac:dyDescent="0.2">
      <c r="A56" s="1" t="s">
        <v>259</v>
      </c>
      <c r="B56" s="1">
        <v>150</v>
      </c>
      <c r="C56" s="1" t="s">
        <v>289</v>
      </c>
      <c r="D56" s="1">
        <v>125.3</v>
      </c>
      <c r="E56" s="1">
        <v>18</v>
      </c>
      <c r="F56" s="1">
        <v>19</v>
      </c>
      <c r="G56" s="1">
        <v>20</v>
      </c>
      <c r="H56" s="1">
        <v>19</v>
      </c>
      <c r="I56" s="1">
        <v>0.19</v>
      </c>
      <c r="J56" s="1">
        <v>37</v>
      </c>
    </row>
    <row r="57" spans="1:10" x14ac:dyDescent="0.2">
      <c r="A57" s="1" t="s">
        <v>259</v>
      </c>
      <c r="B57" s="1">
        <v>187.5</v>
      </c>
      <c r="C57" s="1" t="s">
        <v>290</v>
      </c>
      <c r="D57" s="1">
        <v>156.69999999999999</v>
      </c>
      <c r="E57" s="1">
        <v>25</v>
      </c>
      <c r="F57" s="1">
        <v>26</v>
      </c>
      <c r="G57" s="1">
        <v>27</v>
      </c>
      <c r="H57" s="1">
        <v>26</v>
      </c>
      <c r="I57" s="1">
        <v>0.26</v>
      </c>
      <c r="J57" s="1">
        <v>38</v>
      </c>
    </row>
    <row r="58" spans="1:10" x14ac:dyDescent="0.2">
      <c r="A58" s="1" t="s">
        <v>259</v>
      </c>
      <c r="B58" s="1">
        <v>187.5</v>
      </c>
      <c r="C58" s="1" t="s">
        <v>291</v>
      </c>
      <c r="D58" s="1">
        <v>156.69999999999999</v>
      </c>
      <c r="E58" s="1">
        <v>25</v>
      </c>
      <c r="F58" s="1">
        <v>26</v>
      </c>
      <c r="G58" s="1">
        <v>27</v>
      </c>
      <c r="H58" s="1">
        <v>26</v>
      </c>
      <c r="I58" s="1">
        <v>0.26</v>
      </c>
      <c r="J58" s="1">
        <v>38</v>
      </c>
    </row>
    <row r="59" spans="1:10" x14ac:dyDescent="0.2">
      <c r="A59" s="1" t="s">
        <v>259</v>
      </c>
      <c r="B59" s="1">
        <v>187.5</v>
      </c>
      <c r="C59" s="1" t="s">
        <v>292</v>
      </c>
      <c r="D59" s="1">
        <v>156.69999999999999</v>
      </c>
      <c r="E59" s="1">
        <v>25</v>
      </c>
      <c r="F59" s="1">
        <v>26</v>
      </c>
      <c r="G59" s="1">
        <v>27</v>
      </c>
      <c r="H59" s="1">
        <v>26</v>
      </c>
      <c r="I59" s="1">
        <v>0.26</v>
      </c>
      <c r="J59" s="1">
        <v>38</v>
      </c>
    </row>
    <row r="60" spans="1:10" x14ac:dyDescent="0.2">
      <c r="A60" s="1" t="s">
        <v>259</v>
      </c>
      <c r="B60" s="1">
        <v>187.5</v>
      </c>
      <c r="C60" s="1" t="s">
        <v>293</v>
      </c>
      <c r="D60" s="1">
        <v>156.69999999999999</v>
      </c>
      <c r="E60" s="1">
        <v>25</v>
      </c>
      <c r="F60" s="1">
        <v>26</v>
      </c>
      <c r="G60" s="1">
        <v>27</v>
      </c>
      <c r="H60" s="1">
        <v>26</v>
      </c>
      <c r="I60" s="1">
        <v>0.26</v>
      </c>
      <c r="J60" s="1">
        <v>38</v>
      </c>
    </row>
    <row r="61" spans="1:10" x14ac:dyDescent="0.2">
      <c r="A61" s="1" t="s">
        <v>259</v>
      </c>
      <c r="B61" s="1">
        <v>187.5</v>
      </c>
      <c r="C61" s="1" t="s">
        <v>294</v>
      </c>
      <c r="D61" s="1">
        <v>156.69999999999999</v>
      </c>
      <c r="E61" s="1">
        <v>25</v>
      </c>
      <c r="F61" s="1">
        <v>26</v>
      </c>
      <c r="G61" s="1">
        <v>27</v>
      </c>
      <c r="H61" s="1">
        <v>26</v>
      </c>
      <c r="I61" s="1">
        <v>0.26</v>
      </c>
      <c r="J61" s="1">
        <v>38</v>
      </c>
    </row>
    <row r="62" spans="1:10" x14ac:dyDescent="0.2">
      <c r="A62" s="1" t="s">
        <v>259</v>
      </c>
      <c r="B62" s="1">
        <v>187.5</v>
      </c>
      <c r="C62" s="1" t="s">
        <v>295</v>
      </c>
      <c r="D62" s="1">
        <v>156.69999999999999</v>
      </c>
      <c r="E62" s="1">
        <v>25</v>
      </c>
      <c r="F62" s="1">
        <v>26</v>
      </c>
      <c r="G62" s="1">
        <v>27</v>
      </c>
      <c r="H62" s="1">
        <v>26</v>
      </c>
      <c r="I62" s="1">
        <v>0.26</v>
      </c>
      <c r="J62" s="1">
        <v>38</v>
      </c>
    </row>
    <row r="63" spans="1:10" x14ac:dyDescent="0.2">
      <c r="A63" s="1" t="s">
        <v>259</v>
      </c>
      <c r="B63" s="1">
        <v>225</v>
      </c>
      <c r="C63" s="1" t="s">
        <v>296</v>
      </c>
      <c r="D63" s="1">
        <v>188</v>
      </c>
      <c r="E63" s="1">
        <v>40</v>
      </c>
      <c r="F63" s="1">
        <v>41</v>
      </c>
      <c r="G63" s="1">
        <v>42</v>
      </c>
      <c r="H63" s="1">
        <v>41</v>
      </c>
      <c r="I63" s="1">
        <v>0.41</v>
      </c>
      <c r="J63" s="1">
        <v>37</v>
      </c>
    </row>
    <row r="64" spans="1:10" x14ac:dyDescent="0.2">
      <c r="A64" s="1" t="s">
        <v>259</v>
      </c>
      <c r="B64" s="1">
        <v>225</v>
      </c>
      <c r="C64" s="1" t="s">
        <v>297</v>
      </c>
      <c r="D64" s="1">
        <v>188</v>
      </c>
      <c r="E64" s="1">
        <v>41</v>
      </c>
      <c r="F64" s="1">
        <v>42</v>
      </c>
      <c r="G64" s="1">
        <v>43</v>
      </c>
      <c r="H64" s="1">
        <v>42</v>
      </c>
      <c r="I64" s="1">
        <v>0.42</v>
      </c>
      <c r="J64" s="1">
        <v>37</v>
      </c>
    </row>
    <row r="65" spans="1:10" x14ac:dyDescent="0.2">
      <c r="A65" s="1" t="s">
        <v>259</v>
      </c>
      <c r="B65" s="1">
        <v>225</v>
      </c>
      <c r="C65" s="1" t="s">
        <v>298</v>
      </c>
      <c r="D65" s="1">
        <v>188</v>
      </c>
      <c r="E65" s="1">
        <v>42</v>
      </c>
      <c r="F65" s="1">
        <v>43</v>
      </c>
      <c r="G65" s="1">
        <v>44</v>
      </c>
      <c r="H65" s="1">
        <v>43</v>
      </c>
      <c r="I65" s="1">
        <v>0.43</v>
      </c>
      <c r="J65" s="1">
        <v>37</v>
      </c>
    </row>
    <row r="66" spans="1:10" x14ac:dyDescent="0.2">
      <c r="A66" s="1" t="s">
        <v>259</v>
      </c>
      <c r="B66" s="1">
        <v>225</v>
      </c>
      <c r="C66" s="1" t="s">
        <v>299</v>
      </c>
      <c r="D66" s="1">
        <v>188</v>
      </c>
      <c r="E66" s="1">
        <v>43</v>
      </c>
      <c r="F66" s="1">
        <v>44</v>
      </c>
      <c r="G66" s="1">
        <v>45</v>
      </c>
      <c r="H66" s="1">
        <v>44</v>
      </c>
      <c r="I66" s="1">
        <v>0.44</v>
      </c>
      <c r="J66" s="1">
        <v>37</v>
      </c>
    </row>
    <row r="67" spans="1:10" x14ac:dyDescent="0.2">
      <c r="A67" s="1" t="s">
        <v>259</v>
      </c>
      <c r="B67" s="1">
        <v>225</v>
      </c>
      <c r="C67" s="1" t="s">
        <v>300</v>
      </c>
      <c r="D67" s="1">
        <v>188</v>
      </c>
      <c r="E67" s="1">
        <v>44</v>
      </c>
      <c r="F67" s="1">
        <v>45</v>
      </c>
      <c r="G67" s="1">
        <v>46</v>
      </c>
      <c r="H67" s="1">
        <v>45</v>
      </c>
      <c r="I67" s="1">
        <v>0.45</v>
      </c>
      <c r="J67" s="1">
        <v>37</v>
      </c>
    </row>
    <row r="68" spans="1:10" x14ac:dyDescent="0.2">
      <c r="A68" s="6" t="s">
        <v>301</v>
      </c>
      <c r="B68" s="6">
        <v>150</v>
      </c>
      <c r="C68" s="6" t="s">
        <v>302</v>
      </c>
      <c r="D68" s="6">
        <v>125.3</v>
      </c>
      <c r="E68" s="6">
        <v>42</v>
      </c>
      <c r="F68" s="6">
        <v>43</v>
      </c>
      <c r="G68" s="6">
        <v>44</v>
      </c>
      <c r="H68" s="6">
        <v>43</v>
      </c>
      <c r="I68" s="6">
        <v>0.43</v>
      </c>
      <c r="J68" s="6">
        <v>37</v>
      </c>
    </row>
    <row r="69" spans="1:10" x14ac:dyDescent="0.2">
      <c r="A69" s="6" t="s">
        <v>301</v>
      </c>
      <c r="B69" s="6">
        <v>150</v>
      </c>
      <c r="C69" s="6" t="s">
        <v>303</v>
      </c>
      <c r="D69" s="6">
        <v>125.3</v>
      </c>
      <c r="E69" s="6">
        <v>41</v>
      </c>
      <c r="F69" s="6">
        <v>42</v>
      </c>
      <c r="G69" s="6">
        <v>43</v>
      </c>
      <c r="H69" s="6">
        <v>42</v>
      </c>
      <c r="I69" s="6">
        <v>0.42</v>
      </c>
      <c r="J69" s="6">
        <v>37</v>
      </c>
    </row>
    <row r="70" spans="1:10" x14ac:dyDescent="0.2">
      <c r="A70" s="6" t="s">
        <v>301</v>
      </c>
      <c r="B70" s="6">
        <v>150</v>
      </c>
      <c r="C70" s="6" t="s">
        <v>304</v>
      </c>
      <c r="D70" s="6">
        <v>125.3</v>
      </c>
      <c r="E70" s="6">
        <v>40</v>
      </c>
      <c r="F70" s="6">
        <v>41</v>
      </c>
      <c r="G70" s="6">
        <v>42</v>
      </c>
      <c r="H70" s="6">
        <v>41</v>
      </c>
      <c r="I70" s="6">
        <v>0.41</v>
      </c>
      <c r="J70" s="6">
        <v>37</v>
      </c>
    </row>
    <row r="71" spans="1:10" x14ac:dyDescent="0.2">
      <c r="A71" s="6" t="s">
        <v>301</v>
      </c>
      <c r="B71" s="6">
        <v>150</v>
      </c>
      <c r="C71" s="6" t="s">
        <v>305</v>
      </c>
      <c r="D71" s="6">
        <v>125.3</v>
      </c>
      <c r="E71" s="6">
        <v>39</v>
      </c>
      <c r="F71" s="6">
        <v>40</v>
      </c>
      <c r="G71" s="6">
        <v>41</v>
      </c>
      <c r="H71" s="6">
        <v>40</v>
      </c>
      <c r="I71" s="6">
        <v>0.4</v>
      </c>
      <c r="J71" s="6">
        <v>37</v>
      </c>
    </row>
    <row r="72" spans="1:10" x14ac:dyDescent="0.2">
      <c r="A72" s="6" t="s">
        <v>301</v>
      </c>
      <c r="B72" s="6">
        <v>150</v>
      </c>
      <c r="C72" s="6" t="s">
        <v>306</v>
      </c>
      <c r="D72" s="6">
        <v>125.3</v>
      </c>
      <c r="E72" s="6">
        <v>38</v>
      </c>
      <c r="F72" s="6">
        <v>39</v>
      </c>
      <c r="G72" s="6">
        <v>40</v>
      </c>
      <c r="H72" s="6">
        <v>39</v>
      </c>
      <c r="I72" s="6">
        <v>0.39</v>
      </c>
      <c r="J72" s="6">
        <v>37</v>
      </c>
    </row>
    <row r="73" spans="1:10" x14ac:dyDescent="0.2">
      <c r="A73" s="6" t="s">
        <v>301</v>
      </c>
      <c r="B73" s="6">
        <v>75</v>
      </c>
      <c r="C73" s="6" t="s">
        <v>307</v>
      </c>
      <c r="D73" s="6">
        <v>62.7</v>
      </c>
      <c r="E73" s="6">
        <v>30</v>
      </c>
      <c r="F73" s="6">
        <v>31</v>
      </c>
      <c r="G73" s="6">
        <v>32</v>
      </c>
      <c r="H73" s="6">
        <v>31</v>
      </c>
      <c r="I73" s="6">
        <v>0.31</v>
      </c>
      <c r="J73" s="6">
        <v>37</v>
      </c>
    </row>
    <row r="74" spans="1:10" x14ac:dyDescent="0.2">
      <c r="A74" s="6" t="s">
        <v>301</v>
      </c>
      <c r="B74" s="6">
        <v>75</v>
      </c>
      <c r="C74" s="6" t="s">
        <v>308</v>
      </c>
      <c r="D74" s="6">
        <v>62.7</v>
      </c>
      <c r="E74" s="6">
        <v>29</v>
      </c>
      <c r="F74" s="6">
        <v>30</v>
      </c>
      <c r="G74" s="6">
        <v>31</v>
      </c>
      <c r="H74" s="6">
        <v>30</v>
      </c>
      <c r="I74" s="6">
        <v>0.3</v>
      </c>
      <c r="J74" s="6">
        <v>37</v>
      </c>
    </row>
    <row r="75" spans="1:10" x14ac:dyDescent="0.2">
      <c r="A75" s="6" t="s">
        <v>301</v>
      </c>
      <c r="B75" s="6">
        <v>75</v>
      </c>
      <c r="C75" s="6" t="s">
        <v>309</v>
      </c>
      <c r="D75" s="6">
        <v>62.7</v>
      </c>
      <c r="E75" s="6">
        <v>28</v>
      </c>
      <c r="F75" s="6">
        <v>29</v>
      </c>
      <c r="G75" s="6">
        <v>30</v>
      </c>
      <c r="H75" s="6">
        <v>29</v>
      </c>
      <c r="I75" s="6">
        <v>0.28999999999999998</v>
      </c>
      <c r="J75" s="6">
        <v>37</v>
      </c>
    </row>
    <row r="76" spans="1:10" x14ac:dyDescent="0.2">
      <c r="A76" s="6" t="s">
        <v>301</v>
      </c>
      <c r="B76" s="6">
        <v>75</v>
      </c>
      <c r="C76" s="6" t="s">
        <v>310</v>
      </c>
      <c r="D76" s="6">
        <v>62.7</v>
      </c>
      <c r="E76" s="6">
        <v>27</v>
      </c>
      <c r="F76" s="6">
        <v>28</v>
      </c>
      <c r="G76" s="6">
        <v>29</v>
      </c>
      <c r="H76" s="6">
        <v>28</v>
      </c>
      <c r="I76" s="6">
        <v>0.28000000000000003</v>
      </c>
      <c r="J76" s="6">
        <v>37</v>
      </c>
    </row>
    <row r="77" spans="1:10" x14ac:dyDescent="0.2">
      <c r="A77" s="6" t="s">
        <v>301</v>
      </c>
      <c r="B77" s="6">
        <v>75</v>
      </c>
      <c r="C77" s="6" t="s">
        <v>311</v>
      </c>
      <c r="D77" s="6">
        <v>62.7</v>
      </c>
      <c r="E77" s="6">
        <v>26</v>
      </c>
      <c r="F77" s="6">
        <v>27</v>
      </c>
      <c r="G77" s="6">
        <v>28</v>
      </c>
      <c r="H77" s="6">
        <v>27</v>
      </c>
      <c r="I77" s="6">
        <v>0.27</v>
      </c>
      <c r="J77" s="6">
        <v>37</v>
      </c>
    </row>
    <row r="78" spans="1:10" x14ac:dyDescent="0.2">
      <c r="A78" s="6" t="s">
        <v>301</v>
      </c>
      <c r="B78" s="6">
        <v>0</v>
      </c>
      <c r="C78" s="6" t="s">
        <v>312</v>
      </c>
      <c r="D78" s="6">
        <v>0</v>
      </c>
      <c r="E78" s="6">
        <v>10</v>
      </c>
      <c r="F78" s="6">
        <v>11</v>
      </c>
      <c r="G78" s="6">
        <v>12</v>
      </c>
      <c r="H78" s="6">
        <v>11</v>
      </c>
      <c r="I78" s="6">
        <v>0.11</v>
      </c>
      <c r="J78" s="6">
        <v>37</v>
      </c>
    </row>
    <row r="79" spans="1:10" x14ac:dyDescent="0.2">
      <c r="A79" s="6" t="s">
        <v>301</v>
      </c>
      <c r="B79" s="6">
        <v>0</v>
      </c>
      <c r="C79" s="6" t="s">
        <v>313</v>
      </c>
      <c r="D79" s="6">
        <v>0</v>
      </c>
      <c r="E79" s="6">
        <v>9</v>
      </c>
      <c r="F79" s="6">
        <v>10</v>
      </c>
      <c r="G79" s="6">
        <v>11</v>
      </c>
      <c r="H79" s="6">
        <v>10</v>
      </c>
      <c r="I79" s="6">
        <v>0.1</v>
      </c>
      <c r="J79" s="6">
        <v>37</v>
      </c>
    </row>
    <row r="80" spans="1:10" x14ac:dyDescent="0.2">
      <c r="A80" s="6" t="s">
        <v>301</v>
      </c>
      <c r="B80" s="6">
        <v>0</v>
      </c>
      <c r="C80" s="6" t="s">
        <v>314</v>
      </c>
      <c r="D80" s="6">
        <v>0</v>
      </c>
      <c r="E80" s="6">
        <v>8</v>
      </c>
      <c r="F80" s="6">
        <v>9</v>
      </c>
      <c r="G80" s="6">
        <v>10</v>
      </c>
      <c r="H80" s="6">
        <v>9</v>
      </c>
      <c r="I80" s="6">
        <v>0.09</v>
      </c>
      <c r="J80" s="6">
        <v>37</v>
      </c>
    </row>
    <row r="81" spans="1:10" x14ac:dyDescent="0.2">
      <c r="A81" s="6" t="s">
        <v>301</v>
      </c>
      <c r="B81" s="6">
        <v>0</v>
      </c>
      <c r="C81" s="6" t="s">
        <v>315</v>
      </c>
      <c r="D81" s="6">
        <v>0</v>
      </c>
      <c r="E81" s="6">
        <v>7</v>
      </c>
      <c r="F81" s="6">
        <v>8</v>
      </c>
      <c r="G81" s="6">
        <v>9</v>
      </c>
      <c r="H81" s="6">
        <v>8</v>
      </c>
      <c r="I81" s="6">
        <v>0.08</v>
      </c>
      <c r="J81" s="6">
        <v>37</v>
      </c>
    </row>
    <row r="82" spans="1:10" x14ac:dyDescent="0.2">
      <c r="A82" s="6" t="s">
        <v>301</v>
      </c>
      <c r="B82" s="6">
        <v>0</v>
      </c>
      <c r="C82" s="6" t="s">
        <v>316</v>
      </c>
      <c r="D82" s="6">
        <v>0</v>
      </c>
      <c r="E82" s="6">
        <v>6</v>
      </c>
      <c r="F82" s="6">
        <v>7</v>
      </c>
      <c r="G82" s="6">
        <v>8</v>
      </c>
      <c r="H82" s="6">
        <v>7</v>
      </c>
      <c r="I82" s="6">
        <v>7.0000000000000007E-2</v>
      </c>
      <c r="J82" s="6">
        <v>37</v>
      </c>
    </row>
    <row r="84" spans="1:10" ht="15" customHeight="1" x14ac:dyDescent="0.2">
      <c r="A84" s="17" t="s">
        <v>317</v>
      </c>
      <c r="B84" s="17"/>
      <c r="C84" s="17"/>
      <c r="D84" s="17"/>
      <c r="E84" s="17"/>
      <c r="F84" s="17"/>
      <c r="G84" s="17"/>
      <c r="H84" s="17"/>
      <c r="I84" s="17"/>
      <c r="J84" s="17"/>
    </row>
    <row r="85" spans="1:10" ht="26.75" customHeight="1" x14ac:dyDescent="0.2">
      <c r="A85" s="3" t="s">
        <v>318</v>
      </c>
      <c r="B85" s="3" t="s">
        <v>250</v>
      </c>
      <c r="C85" s="17" t="s">
        <v>257</v>
      </c>
      <c r="D85" s="17"/>
      <c r="E85" s="17"/>
      <c r="F85" s="17"/>
      <c r="G85" s="17"/>
      <c r="H85" s="17"/>
      <c r="I85" s="17"/>
      <c r="J85" s="17"/>
    </row>
    <row r="86" spans="1:10" ht="28" x14ac:dyDescent="0.2">
      <c r="A86" s="7" t="s">
        <v>319</v>
      </c>
      <c r="B86" s="1">
        <v>0</v>
      </c>
      <c r="C86" s="24">
        <v>0</v>
      </c>
      <c r="D86" s="24"/>
      <c r="E86" s="24"/>
      <c r="F86" s="24"/>
      <c r="G86" s="24"/>
      <c r="H86" s="24"/>
      <c r="I86" s="24"/>
      <c r="J86" s="24"/>
    </row>
    <row r="87" spans="1:10" ht="28" x14ac:dyDescent="0.2">
      <c r="A87" s="7" t="s">
        <v>320</v>
      </c>
      <c r="B87" s="1">
        <v>37.5</v>
      </c>
      <c r="C87" s="24">
        <v>0.06</v>
      </c>
      <c r="D87" s="24"/>
      <c r="E87" s="24"/>
      <c r="F87" s="24"/>
      <c r="G87" s="24"/>
      <c r="H87" s="24"/>
      <c r="I87" s="24"/>
      <c r="J87" s="24"/>
    </row>
    <row r="88" spans="1:10" ht="28" x14ac:dyDescent="0.2">
      <c r="A88" s="7" t="s">
        <v>321</v>
      </c>
      <c r="B88" s="1">
        <v>75</v>
      </c>
      <c r="C88" s="24">
        <v>0.09</v>
      </c>
      <c r="D88" s="24"/>
      <c r="E88" s="24"/>
      <c r="F88" s="24"/>
      <c r="G88" s="24"/>
      <c r="H88" s="24"/>
      <c r="I88" s="24"/>
      <c r="J88" s="24"/>
    </row>
    <row r="89" spans="1:10" ht="28" x14ac:dyDescent="0.2">
      <c r="A89" s="7" t="s">
        <v>322</v>
      </c>
      <c r="B89" s="1">
        <v>112.5</v>
      </c>
      <c r="C89" s="24">
        <v>0.12</v>
      </c>
      <c r="D89" s="24"/>
      <c r="E89" s="24"/>
      <c r="F89" s="24"/>
      <c r="G89" s="24"/>
      <c r="H89" s="24"/>
      <c r="I89" s="24"/>
      <c r="J89" s="24"/>
    </row>
    <row r="90" spans="1:10" ht="42" x14ac:dyDescent="0.2">
      <c r="A90" s="7" t="s">
        <v>323</v>
      </c>
      <c r="B90" s="1">
        <v>150</v>
      </c>
      <c r="C90" s="24">
        <v>0.19</v>
      </c>
      <c r="D90" s="24"/>
      <c r="E90" s="24"/>
      <c r="F90" s="24"/>
      <c r="G90" s="24"/>
      <c r="H90" s="24"/>
      <c r="I90" s="24"/>
      <c r="J90" s="24"/>
    </row>
    <row r="91" spans="1:10" ht="28" x14ac:dyDescent="0.2">
      <c r="A91" s="7" t="s">
        <v>324</v>
      </c>
      <c r="B91" s="1">
        <v>187.5</v>
      </c>
      <c r="C91" s="24">
        <v>0.26</v>
      </c>
      <c r="D91" s="24"/>
      <c r="E91" s="24"/>
      <c r="F91" s="24"/>
      <c r="G91" s="24"/>
      <c r="H91" s="24"/>
      <c r="I91" s="24"/>
      <c r="J91" s="24"/>
    </row>
    <row r="92" spans="1:10" ht="42" x14ac:dyDescent="0.2">
      <c r="A92" s="7" t="s">
        <v>325</v>
      </c>
      <c r="B92" s="1">
        <v>225</v>
      </c>
      <c r="C92" s="24">
        <v>0.45</v>
      </c>
      <c r="D92" s="24"/>
      <c r="E92" s="24"/>
      <c r="F92" s="24"/>
      <c r="G92" s="24"/>
      <c r="H92" s="24"/>
      <c r="I92" s="24"/>
      <c r="J92" s="24"/>
    </row>
    <row r="93" spans="1:10" ht="28" x14ac:dyDescent="0.2">
      <c r="A93" s="7" t="s">
        <v>326</v>
      </c>
      <c r="B93" s="1">
        <v>150</v>
      </c>
      <c r="C93" s="24">
        <v>0.39</v>
      </c>
      <c r="D93" s="24"/>
      <c r="E93" s="24"/>
      <c r="F93" s="24"/>
      <c r="G93" s="24"/>
      <c r="H93" s="24"/>
      <c r="I93" s="24"/>
      <c r="J93" s="24"/>
    </row>
    <row r="94" spans="1:10" ht="28" x14ac:dyDescent="0.2">
      <c r="A94" s="7" t="s">
        <v>327</v>
      </c>
      <c r="B94" s="1">
        <v>75</v>
      </c>
      <c r="C94" s="24">
        <v>0.27</v>
      </c>
      <c r="D94" s="24"/>
      <c r="E94" s="24"/>
      <c r="F94" s="24"/>
      <c r="G94" s="24"/>
      <c r="H94" s="24"/>
      <c r="I94" s="24"/>
      <c r="J94" s="24"/>
    </row>
    <row r="95" spans="1:10" ht="42" x14ac:dyDescent="0.2">
      <c r="A95" s="7" t="s">
        <v>328</v>
      </c>
      <c r="B95" s="1">
        <v>0</v>
      </c>
      <c r="C95" s="24">
        <v>7.0000000000000007E-2</v>
      </c>
      <c r="D95" s="24"/>
      <c r="E95" s="24"/>
      <c r="F95" s="24"/>
      <c r="G95" s="24"/>
      <c r="H95" s="24"/>
      <c r="I95" s="24"/>
      <c r="J95" s="24"/>
    </row>
    <row r="98" spans="1:10" ht="15" customHeight="1" x14ac:dyDescent="0.2">
      <c r="A98" s="15" t="s">
        <v>329</v>
      </c>
      <c r="B98" s="15"/>
      <c r="C98" s="15"/>
      <c r="D98" s="15"/>
      <c r="E98" s="15"/>
      <c r="F98" s="15"/>
      <c r="G98" s="15"/>
      <c r="H98" s="15"/>
      <c r="I98" s="15"/>
      <c r="J98" s="15"/>
    </row>
    <row r="99" spans="1:10" ht="15" customHeight="1" x14ac:dyDescent="0.2">
      <c r="A99" s="18" t="s">
        <v>225</v>
      </c>
      <c r="B99" s="18"/>
      <c r="C99" s="16" t="s">
        <v>226</v>
      </c>
      <c r="D99" s="16"/>
      <c r="E99" s="16"/>
      <c r="F99" s="16"/>
      <c r="G99" s="16"/>
      <c r="H99" s="16"/>
      <c r="I99" s="16"/>
      <c r="J99" s="16"/>
    </row>
    <row r="100" spans="1:10" ht="15" customHeight="1" x14ac:dyDescent="0.2">
      <c r="A100" s="18" t="s">
        <v>227</v>
      </c>
      <c r="B100" s="18"/>
      <c r="C100" s="16" t="s">
        <v>228</v>
      </c>
      <c r="D100" s="16"/>
      <c r="E100" s="16"/>
      <c r="F100" s="16"/>
      <c r="G100" s="16"/>
      <c r="H100" s="16"/>
      <c r="I100" s="16"/>
      <c r="J100" s="16"/>
    </row>
    <row r="101" spans="1:10" ht="15" customHeight="1" x14ac:dyDescent="0.2">
      <c r="A101" s="18" t="s">
        <v>229</v>
      </c>
      <c r="B101" s="18"/>
      <c r="C101" s="16" t="s">
        <v>230</v>
      </c>
      <c r="D101" s="16"/>
      <c r="E101" s="16"/>
      <c r="F101" s="16"/>
      <c r="G101" s="16"/>
      <c r="H101" s="16"/>
      <c r="I101" s="16"/>
      <c r="J101" s="16"/>
    </row>
    <row r="102" spans="1:10" ht="15" customHeight="1" x14ac:dyDescent="0.2">
      <c r="A102" s="18" t="s">
        <v>231</v>
      </c>
      <c r="B102" s="18"/>
      <c r="C102" s="16" t="s">
        <v>330</v>
      </c>
      <c r="D102" s="16"/>
      <c r="E102" s="16"/>
      <c r="F102" s="16"/>
      <c r="G102" s="16"/>
      <c r="H102" s="16"/>
      <c r="I102" s="16"/>
      <c r="J102" s="16"/>
    </row>
    <row r="103" spans="1:10" ht="15" customHeight="1" x14ac:dyDescent="0.2">
      <c r="A103" s="18" t="s">
        <v>233</v>
      </c>
      <c r="B103" s="18"/>
      <c r="C103" s="16" t="s">
        <v>234</v>
      </c>
      <c r="D103" s="16"/>
      <c r="E103" s="16"/>
      <c r="F103" s="16"/>
      <c r="G103" s="16"/>
      <c r="H103" s="16"/>
      <c r="I103" s="16"/>
      <c r="J103" s="16"/>
    </row>
    <row r="104" spans="1:10" ht="15" customHeight="1" x14ac:dyDescent="0.2">
      <c r="A104" s="18" t="s">
        <v>235</v>
      </c>
      <c r="B104" s="18"/>
      <c r="C104" s="16" t="s">
        <v>236</v>
      </c>
      <c r="D104" s="16"/>
      <c r="E104" s="16"/>
      <c r="F104" s="16"/>
      <c r="G104" s="16"/>
      <c r="H104" s="16"/>
      <c r="I104" s="16"/>
      <c r="J104" s="16"/>
    </row>
    <row r="105" spans="1:10" ht="15" customHeight="1" x14ac:dyDescent="0.2">
      <c r="A105" s="18" t="s">
        <v>237</v>
      </c>
      <c r="B105" s="18"/>
      <c r="C105" s="16" t="s">
        <v>238</v>
      </c>
      <c r="D105" s="16"/>
      <c r="E105" s="16"/>
      <c r="F105" s="16"/>
      <c r="G105" s="16"/>
      <c r="H105" s="16"/>
      <c r="I105" s="16"/>
      <c r="J105" s="16"/>
    </row>
    <row r="106" spans="1:10" ht="15" customHeight="1" x14ac:dyDescent="0.2">
      <c r="A106" s="18" t="s">
        <v>239</v>
      </c>
      <c r="B106" s="18"/>
      <c r="C106" s="16" t="s">
        <v>240</v>
      </c>
      <c r="D106" s="16"/>
      <c r="E106" s="16"/>
      <c r="F106" s="16"/>
      <c r="G106" s="16"/>
      <c r="H106" s="16"/>
      <c r="I106" s="16"/>
      <c r="J106" s="16"/>
    </row>
    <row r="107" spans="1:10" ht="15" customHeight="1" x14ac:dyDescent="0.2">
      <c r="A107" s="18" t="s">
        <v>241</v>
      </c>
      <c r="B107" s="18"/>
      <c r="C107" s="16" t="s">
        <v>242</v>
      </c>
      <c r="D107" s="16"/>
      <c r="E107" s="16"/>
      <c r="F107" s="16"/>
      <c r="G107" s="16"/>
      <c r="H107" s="16"/>
      <c r="I107" s="16"/>
      <c r="J107" s="16"/>
    </row>
    <row r="108" spans="1:10" ht="15" customHeight="1" x14ac:dyDescent="0.2">
      <c r="A108" s="18" t="s">
        <v>243</v>
      </c>
      <c r="B108" s="18"/>
      <c r="C108" s="16" t="s">
        <v>244</v>
      </c>
      <c r="D108" s="16"/>
      <c r="E108" s="16"/>
      <c r="F108" s="16"/>
      <c r="G108" s="16"/>
      <c r="H108" s="16"/>
      <c r="I108" s="16"/>
      <c r="J108" s="16"/>
    </row>
    <row r="109" spans="1:10" ht="15" customHeight="1" x14ac:dyDescent="0.2">
      <c r="A109" s="18" t="s">
        <v>245</v>
      </c>
      <c r="B109" s="18"/>
      <c r="C109" s="16" t="s">
        <v>246</v>
      </c>
      <c r="D109" s="16"/>
      <c r="E109" s="16"/>
      <c r="F109" s="16"/>
      <c r="G109" s="16"/>
      <c r="H109" s="16"/>
      <c r="I109" s="16"/>
      <c r="J109" s="16"/>
    </row>
    <row r="110" spans="1:10" ht="15" customHeight="1" x14ac:dyDescent="0.2">
      <c r="A110" s="18" t="s">
        <v>247</v>
      </c>
      <c r="B110" s="18"/>
      <c r="C110" s="16" t="s">
        <v>248</v>
      </c>
      <c r="D110" s="16"/>
      <c r="E110" s="16"/>
      <c r="F110" s="16"/>
      <c r="G110" s="16"/>
      <c r="H110" s="16"/>
      <c r="I110" s="16"/>
      <c r="J110" s="16"/>
    </row>
    <row r="112" spans="1:10" ht="31.5" customHeight="1" x14ac:dyDescent="0.2">
      <c r="A112" s="3" t="s">
        <v>249</v>
      </c>
      <c r="B112" s="3" t="s">
        <v>250</v>
      </c>
      <c r="C112" s="3" t="s">
        <v>251</v>
      </c>
      <c r="D112" s="3" t="s">
        <v>252</v>
      </c>
      <c r="E112" s="3" t="s">
        <v>253</v>
      </c>
      <c r="F112" s="3" t="s">
        <v>254</v>
      </c>
      <c r="G112" s="3" t="s">
        <v>255</v>
      </c>
      <c r="H112" s="3" t="s">
        <v>256</v>
      </c>
      <c r="I112" s="3" t="s">
        <v>257</v>
      </c>
      <c r="J112" s="3" t="s">
        <v>258</v>
      </c>
    </row>
    <row r="113" spans="1:10" x14ac:dyDescent="0.2">
      <c r="A113" s="1" t="s">
        <v>259</v>
      </c>
      <c r="B113" s="1">
        <v>0</v>
      </c>
      <c r="C113" s="1" t="s">
        <v>331</v>
      </c>
      <c r="D113" s="1">
        <v>0</v>
      </c>
      <c r="E113" s="1">
        <v>0</v>
      </c>
      <c r="F113" s="1">
        <v>0</v>
      </c>
      <c r="G113" s="1">
        <v>0</v>
      </c>
      <c r="H113" s="1">
        <v>0</v>
      </c>
      <c r="I113" s="1">
        <v>0</v>
      </c>
      <c r="J113" s="1">
        <v>36</v>
      </c>
    </row>
    <row r="114" spans="1:10" x14ac:dyDescent="0.2">
      <c r="A114" s="1" t="s">
        <v>259</v>
      </c>
      <c r="B114" s="1">
        <v>0</v>
      </c>
      <c r="C114" s="1" t="s">
        <v>332</v>
      </c>
      <c r="D114" s="1">
        <v>0</v>
      </c>
      <c r="E114" s="1">
        <v>0</v>
      </c>
      <c r="F114" s="1">
        <v>0</v>
      </c>
      <c r="G114" s="1">
        <v>0</v>
      </c>
      <c r="H114" s="1">
        <v>0</v>
      </c>
      <c r="I114" s="1">
        <v>0</v>
      </c>
      <c r="J114" s="1">
        <v>36</v>
      </c>
    </row>
    <row r="115" spans="1:10" x14ac:dyDescent="0.2">
      <c r="A115" s="1" t="s">
        <v>259</v>
      </c>
      <c r="B115" s="1">
        <v>0</v>
      </c>
      <c r="C115" s="1" t="s">
        <v>333</v>
      </c>
      <c r="D115" s="1">
        <v>0</v>
      </c>
      <c r="E115" s="1">
        <v>0</v>
      </c>
      <c r="F115" s="1">
        <v>0</v>
      </c>
      <c r="G115" s="1">
        <v>0</v>
      </c>
      <c r="H115" s="1">
        <v>0</v>
      </c>
      <c r="I115" s="1">
        <v>0</v>
      </c>
      <c r="J115" s="1">
        <v>36</v>
      </c>
    </row>
    <row r="116" spans="1:10" x14ac:dyDescent="0.2">
      <c r="A116" s="1" t="s">
        <v>259</v>
      </c>
      <c r="B116" s="1">
        <v>0</v>
      </c>
      <c r="C116" s="1" t="s">
        <v>334</v>
      </c>
      <c r="D116" s="1">
        <v>0</v>
      </c>
      <c r="E116" s="1">
        <v>0</v>
      </c>
      <c r="F116" s="1">
        <v>0</v>
      </c>
      <c r="G116" s="1">
        <v>0</v>
      </c>
      <c r="H116" s="1">
        <v>0</v>
      </c>
      <c r="I116" s="1">
        <v>0</v>
      </c>
      <c r="J116" s="1">
        <v>36</v>
      </c>
    </row>
    <row r="117" spans="1:10" x14ac:dyDescent="0.2">
      <c r="A117" s="1" t="s">
        <v>259</v>
      </c>
      <c r="B117" s="1">
        <v>0</v>
      </c>
      <c r="C117" s="1" t="s">
        <v>335</v>
      </c>
      <c r="D117" s="1">
        <v>0</v>
      </c>
      <c r="E117" s="1">
        <v>0</v>
      </c>
      <c r="F117" s="1">
        <v>0</v>
      </c>
      <c r="G117" s="1">
        <v>0</v>
      </c>
      <c r="H117" s="1">
        <v>0</v>
      </c>
      <c r="I117" s="1">
        <v>0</v>
      </c>
      <c r="J117" s="1">
        <v>36</v>
      </c>
    </row>
    <row r="118" spans="1:10" x14ac:dyDescent="0.2">
      <c r="A118" s="1" t="s">
        <v>259</v>
      </c>
      <c r="B118" s="1">
        <v>0</v>
      </c>
      <c r="C118" s="1" t="s">
        <v>336</v>
      </c>
      <c r="D118" s="1">
        <v>0</v>
      </c>
      <c r="E118" s="1">
        <v>0</v>
      </c>
      <c r="F118" s="1">
        <v>0</v>
      </c>
      <c r="G118" s="1">
        <v>0</v>
      </c>
      <c r="H118" s="1">
        <v>0</v>
      </c>
      <c r="I118" s="1">
        <v>0</v>
      </c>
      <c r="J118" s="1">
        <v>36</v>
      </c>
    </row>
    <row r="119" spans="1:10" x14ac:dyDescent="0.2">
      <c r="A119" s="1" t="s">
        <v>259</v>
      </c>
      <c r="B119" s="1">
        <v>37.5</v>
      </c>
      <c r="C119" s="1" t="s">
        <v>337</v>
      </c>
      <c r="D119" s="1">
        <v>31.4</v>
      </c>
      <c r="E119" s="1">
        <v>5</v>
      </c>
      <c r="F119" s="1">
        <v>6</v>
      </c>
      <c r="G119" s="1">
        <v>7</v>
      </c>
      <c r="H119" s="1">
        <v>6</v>
      </c>
      <c r="I119" s="1">
        <v>0.06</v>
      </c>
      <c r="J119" s="1">
        <v>36</v>
      </c>
    </row>
    <row r="120" spans="1:10" x14ac:dyDescent="0.2">
      <c r="A120" s="1" t="s">
        <v>259</v>
      </c>
      <c r="B120" s="1">
        <v>37.5</v>
      </c>
      <c r="C120" s="1" t="s">
        <v>338</v>
      </c>
      <c r="D120" s="1">
        <v>31.4</v>
      </c>
      <c r="E120" s="1">
        <v>5</v>
      </c>
      <c r="F120" s="1">
        <v>6</v>
      </c>
      <c r="G120" s="1">
        <v>7</v>
      </c>
      <c r="H120" s="1">
        <v>6</v>
      </c>
      <c r="I120" s="1">
        <v>0.06</v>
      </c>
      <c r="J120" s="1">
        <v>36</v>
      </c>
    </row>
    <row r="121" spans="1:10" x14ac:dyDescent="0.2">
      <c r="A121" s="1" t="s">
        <v>259</v>
      </c>
      <c r="B121" s="1">
        <v>37.5</v>
      </c>
      <c r="C121" s="1" t="s">
        <v>339</v>
      </c>
      <c r="D121" s="1">
        <v>31.4</v>
      </c>
      <c r="E121" s="1">
        <v>5</v>
      </c>
      <c r="F121" s="1">
        <v>6</v>
      </c>
      <c r="G121" s="1">
        <v>7</v>
      </c>
      <c r="H121" s="1">
        <v>6</v>
      </c>
      <c r="I121" s="1">
        <v>0.06</v>
      </c>
      <c r="J121" s="1">
        <v>36</v>
      </c>
    </row>
    <row r="122" spans="1:10" x14ac:dyDescent="0.2">
      <c r="A122" s="1" t="s">
        <v>259</v>
      </c>
      <c r="B122" s="1">
        <v>37.5</v>
      </c>
      <c r="C122" s="1" t="s">
        <v>340</v>
      </c>
      <c r="D122" s="1">
        <v>31.4</v>
      </c>
      <c r="E122" s="1">
        <v>5</v>
      </c>
      <c r="F122" s="1">
        <v>6</v>
      </c>
      <c r="G122" s="1">
        <v>7</v>
      </c>
      <c r="H122" s="1">
        <v>6</v>
      </c>
      <c r="I122" s="1">
        <v>0.06</v>
      </c>
      <c r="J122" s="1">
        <v>36</v>
      </c>
    </row>
    <row r="123" spans="1:10" x14ac:dyDescent="0.2">
      <c r="A123" s="1" t="s">
        <v>259</v>
      </c>
      <c r="B123" s="1">
        <v>37.5</v>
      </c>
      <c r="C123" s="1" t="s">
        <v>341</v>
      </c>
      <c r="D123" s="1">
        <v>31.4</v>
      </c>
      <c r="E123" s="1">
        <v>5</v>
      </c>
      <c r="F123" s="1">
        <v>6</v>
      </c>
      <c r="G123" s="1">
        <v>7</v>
      </c>
      <c r="H123" s="1">
        <v>6</v>
      </c>
      <c r="I123" s="1">
        <v>0.06</v>
      </c>
      <c r="J123" s="1">
        <v>36</v>
      </c>
    </row>
    <row r="124" spans="1:10" x14ac:dyDescent="0.2">
      <c r="A124" s="1" t="s">
        <v>259</v>
      </c>
      <c r="B124" s="1">
        <v>37.5</v>
      </c>
      <c r="C124" s="1" t="s">
        <v>342</v>
      </c>
      <c r="D124" s="1">
        <v>31.4</v>
      </c>
      <c r="E124" s="1">
        <v>5</v>
      </c>
      <c r="F124" s="1">
        <v>6</v>
      </c>
      <c r="G124" s="1">
        <v>7</v>
      </c>
      <c r="H124" s="1">
        <v>6</v>
      </c>
      <c r="I124" s="1">
        <v>0.06</v>
      </c>
      <c r="J124" s="1">
        <v>36</v>
      </c>
    </row>
    <row r="125" spans="1:10" x14ac:dyDescent="0.2">
      <c r="A125" s="1" t="s">
        <v>259</v>
      </c>
      <c r="B125" s="1">
        <v>75</v>
      </c>
      <c r="C125" s="1" t="s">
        <v>343</v>
      </c>
      <c r="D125" s="1">
        <v>62.67</v>
      </c>
      <c r="E125" s="1">
        <v>8</v>
      </c>
      <c r="F125" s="1">
        <v>9</v>
      </c>
      <c r="G125" s="1">
        <v>10</v>
      </c>
      <c r="H125" s="1">
        <v>9</v>
      </c>
      <c r="I125" s="1">
        <v>0.09</v>
      </c>
      <c r="J125" s="1">
        <v>37</v>
      </c>
    </row>
    <row r="126" spans="1:10" x14ac:dyDescent="0.2">
      <c r="A126" s="1" t="s">
        <v>259</v>
      </c>
      <c r="B126" s="1">
        <v>75</v>
      </c>
      <c r="C126" s="1" t="s">
        <v>344</v>
      </c>
      <c r="D126" s="1">
        <v>62.67</v>
      </c>
      <c r="E126" s="1">
        <v>8</v>
      </c>
      <c r="F126" s="1">
        <v>9</v>
      </c>
      <c r="G126" s="1">
        <v>10</v>
      </c>
      <c r="H126" s="1">
        <v>9</v>
      </c>
      <c r="I126" s="1">
        <v>0.09</v>
      </c>
      <c r="J126" s="1">
        <v>37</v>
      </c>
    </row>
    <row r="127" spans="1:10" x14ac:dyDescent="0.2">
      <c r="A127" s="1" t="s">
        <v>259</v>
      </c>
      <c r="B127" s="1">
        <v>75</v>
      </c>
      <c r="C127" s="1" t="s">
        <v>345</v>
      </c>
      <c r="D127" s="1">
        <v>62.67</v>
      </c>
      <c r="E127" s="1">
        <v>8</v>
      </c>
      <c r="F127" s="1">
        <v>9</v>
      </c>
      <c r="G127" s="1">
        <v>10</v>
      </c>
      <c r="H127" s="1">
        <v>9</v>
      </c>
      <c r="I127" s="1">
        <v>0.09</v>
      </c>
      <c r="J127" s="1">
        <v>37</v>
      </c>
    </row>
    <row r="128" spans="1:10" x14ac:dyDescent="0.2">
      <c r="A128" s="1" t="s">
        <v>259</v>
      </c>
      <c r="B128" s="1">
        <v>75</v>
      </c>
      <c r="C128" s="1" t="s">
        <v>346</v>
      </c>
      <c r="D128" s="1">
        <v>62.67</v>
      </c>
      <c r="E128" s="1">
        <v>8</v>
      </c>
      <c r="F128" s="1">
        <v>9</v>
      </c>
      <c r="G128" s="1">
        <v>10</v>
      </c>
      <c r="H128" s="1">
        <v>9</v>
      </c>
      <c r="I128" s="1">
        <v>0.09</v>
      </c>
      <c r="J128" s="1">
        <v>37</v>
      </c>
    </row>
    <row r="129" spans="1:10" x14ac:dyDescent="0.2">
      <c r="A129" s="1" t="s">
        <v>259</v>
      </c>
      <c r="B129" s="1">
        <v>75</v>
      </c>
      <c r="C129" s="1" t="s">
        <v>347</v>
      </c>
      <c r="D129" s="1">
        <v>62.67</v>
      </c>
      <c r="E129" s="1">
        <v>8</v>
      </c>
      <c r="F129" s="1">
        <v>9</v>
      </c>
      <c r="G129" s="1">
        <v>10</v>
      </c>
      <c r="H129" s="1">
        <v>9</v>
      </c>
      <c r="I129" s="1">
        <v>0.09</v>
      </c>
      <c r="J129" s="1">
        <v>37</v>
      </c>
    </row>
    <row r="130" spans="1:10" x14ac:dyDescent="0.2">
      <c r="A130" s="1" t="s">
        <v>259</v>
      </c>
      <c r="B130" s="1">
        <v>75</v>
      </c>
      <c r="C130" s="1" t="s">
        <v>348</v>
      </c>
      <c r="D130" s="1">
        <v>62.67</v>
      </c>
      <c r="E130" s="1">
        <v>8</v>
      </c>
      <c r="F130" s="1">
        <v>9</v>
      </c>
      <c r="G130" s="1">
        <v>10</v>
      </c>
      <c r="H130" s="1">
        <v>9</v>
      </c>
      <c r="I130" s="1">
        <v>0.09</v>
      </c>
      <c r="J130" s="1">
        <v>37</v>
      </c>
    </row>
    <row r="131" spans="1:10" x14ac:dyDescent="0.2">
      <c r="A131" s="1" t="s">
        <v>259</v>
      </c>
      <c r="B131" s="1">
        <v>112.5</v>
      </c>
      <c r="C131" s="1" t="s">
        <v>349</v>
      </c>
      <c r="D131" s="1">
        <v>94</v>
      </c>
      <c r="E131" s="1">
        <v>14</v>
      </c>
      <c r="F131" s="1">
        <v>15</v>
      </c>
      <c r="G131" s="1">
        <v>16</v>
      </c>
      <c r="H131" s="1">
        <v>15</v>
      </c>
      <c r="I131" s="1">
        <v>0.15</v>
      </c>
      <c r="J131" s="1">
        <v>36</v>
      </c>
    </row>
    <row r="132" spans="1:10" x14ac:dyDescent="0.2">
      <c r="A132" s="1" t="s">
        <v>259</v>
      </c>
      <c r="B132" s="1">
        <v>112.5</v>
      </c>
      <c r="C132" s="1" t="s">
        <v>350</v>
      </c>
      <c r="D132" s="1">
        <v>94</v>
      </c>
      <c r="E132" s="1">
        <v>14</v>
      </c>
      <c r="F132" s="1">
        <v>15</v>
      </c>
      <c r="G132" s="1">
        <v>16</v>
      </c>
      <c r="H132" s="1">
        <v>15</v>
      </c>
      <c r="I132" s="1">
        <v>0.15</v>
      </c>
      <c r="J132" s="1">
        <v>36</v>
      </c>
    </row>
    <row r="133" spans="1:10" x14ac:dyDescent="0.2">
      <c r="A133" s="1" t="s">
        <v>259</v>
      </c>
      <c r="B133" s="1">
        <v>112.5</v>
      </c>
      <c r="C133" s="1" t="s">
        <v>351</v>
      </c>
      <c r="D133" s="1">
        <v>94</v>
      </c>
      <c r="E133" s="1">
        <v>14</v>
      </c>
      <c r="F133" s="1">
        <v>15</v>
      </c>
      <c r="G133" s="1">
        <v>16</v>
      </c>
      <c r="H133" s="1">
        <v>15</v>
      </c>
      <c r="I133" s="1">
        <v>0.15</v>
      </c>
      <c r="J133" s="1">
        <v>36</v>
      </c>
    </row>
    <row r="134" spans="1:10" x14ac:dyDescent="0.2">
      <c r="A134" s="1" t="s">
        <v>259</v>
      </c>
      <c r="B134" s="1">
        <v>112.5</v>
      </c>
      <c r="C134" s="1" t="s">
        <v>352</v>
      </c>
      <c r="D134" s="1">
        <v>94</v>
      </c>
      <c r="E134" s="1">
        <v>14</v>
      </c>
      <c r="F134" s="1">
        <v>15</v>
      </c>
      <c r="G134" s="1">
        <v>16</v>
      </c>
      <c r="H134" s="1">
        <v>15</v>
      </c>
      <c r="I134" s="1">
        <v>0.15</v>
      </c>
      <c r="J134" s="1">
        <v>36</v>
      </c>
    </row>
    <row r="135" spans="1:10" x14ac:dyDescent="0.2">
      <c r="A135" s="1" t="s">
        <v>259</v>
      </c>
      <c r="B135" s="1">
        <v>112.5</v>
      </c>
      <c r="C135" s="1" t="s">
        <v>353</v>
      </c>
      <c r="D135" s="1">
        <v>94</v>
      </c>
      <c r="E135" s="1">
        <v>14</v>
      </c>
      <c r="F135" s="1">
        <v>15</v>
      </c>
      <c r="G135" s="1">
        <v>16</v>
      </c>
      <c r="H135" s="1">
        <v>15</v>
      </c>
      <c r="I135" s="1">
        <v>0.15</v>
      </c>
      <c r="J135" s="1">
        <v>36</v>
      </c>
    </row>
    <row r="136" spans="1:10" x14ac:dyDescent="0.2">
      <c r="A136" s="1" t="s">
        <v>259</v>
      </c>
      <c r="B136" s="1">
        <v>112.5</v>
      </c>
      <c r="C136" s="1" t="s">
        <v>354</v>
      </c>
      <c r="D136" s="1">
        <v>94</v>
      </c>
      <c r="E136" s="1">
        <v>14</v>
      </c>
      <c r="F136" s="1">
        <v>15</v>
      </c>
      <c r="G136" s="1">
        <v>16</v>
      </c>
      <c r="H136" s="1">
        <v>15</v>
      </c>
      <c r="I136" s="1">
        <v>0.15</v>
      </c>
      <c r="J136" s="1">
        <v>36</v>
      </c>
    </row>
    <row r="137" spans="1:10" x14ac:dyDescent="0.2">
      <c r="A137" s="1" t="s">
        <v>259</v>
      </c>
      <c r="B137" s="1">
        <v>150</v>
      </c>
      <c r="C137" s="1" t="s">
        <v>355</v>
      </c>
      <c r="D137" s="1">
        <v>125.3</v>
      </c>
      <c r="E137" s="1">
        <v>20</v>
      </c>
      <c r="F137" s="1">
        <v>21</v>
      </c>
      <c r="G137" s="1">
        <v>22</v>
      </c>
      <c r="H137" s="1">
        <v>21</v>
      </c>
      <c r="I137" s="1">
        <v>0.21</v>
      </c>
      <c r="J137" s="1">
        <v>35</v>
      </c>
    </row>
    <row r="138" spans="1:10" x14ac:dyDescent="0.2">
      <c r="A138" s="1" t="s">
        <v>259</v>
      </c>
      <c r="B138" s="1">
        <v>150</v>
      </c>
      <c r="C138" s="1" t="s">
        <v>356</v>
      </c>
      <c r="D138" s="1">
        <v>125.3</v>
      </c>
      <c r="E138" s="1">
        <v>20</v>
      </c>
      <c r="F138" s="1">
        <v>21</v>
      </c>
      <c r="G138" s="1">
        <v>22</v>
      </c>
      <c r="H138" s="1">
        <v>21</v>
      </c>
      <c r="I138" s="1">
        <v>0.21</v>
      </c>
      <c r="J138" s="1">
        <v>35</v>
      </c>
    </row>
    <row r="139" spans="1:10" x14ac:dyDescent="0.2">
      <c r="A139" s="1" t="s">
        <v>259</v>
      </c>
      <c r="B139" s="1">
        <v>150</v>
      </c>
      <c r="C139" s="1" t="s">
        <v>357</v>
      </c>
      <c r="D139" s="1">
        <v>125.3</v>
      </c>
      <c r="E139" s="1">
        <v>20</v>
      </c>
      <c r="F139" s="1">
        <v>21</v>
      </c>
      <c r="G139" s="1">
        <v>22</v>
      </c>
      <c r="H139" s="1">
        <v>21</v>
      </c>
      <c r="I139" s="1">
        <v>0.21</v>
      </c>
      <c r="J139" s="1">
        <v>35</v>
      </c>
    </row>
    <row r="140" spans="1:10" x14ac:dyDescent="0.2">
      <c r="A140" s="1" t="s">
        <v>259</v>
      </c>
      <c r="B140" s="1">
        <v>150</v>
      </c>
      <c r="C140" s="1" t="s">
        <v>358</v>
      </c>
      <c r="D140" s="1">
        <v>125.3</v>
      </c>
      <c r="E140" s="1">
        <v>20</v>
      </c>
      <c r="F140" s="1">
        <v>21</v>
      </c>
      <c r="G140" s="1">
        <v>22</v>
      </c>
      <c r="H140" s="1">
        <v>21</v>
      </c>
      <c r="I140" s="1">
        <v>0.21</v>
      </c>
      <c r="J140" s="1">
        <v>35</v>
      </c>
    </row>
    <row r="141" spans="1:10" x14ac:dyDescent="0.2">
      <c r="A141" s="1" t="s">
        <v>259</v>
      </c>
      <c r="B141" s="1">
        <v>150</v>
      </c>
      <c r="C141" s="1" t="s">
        <v>359</v>
      </c>
      <c r="D141" s="1">
        <v>125.3</v>
      </c>
      <c r="E141" s="1">
        <v>20</v>
      </c>
      <c r="F141" s="1">
        <v>21</v>
      </c>
      <c r="G141" s="1">
        <v>22</v>
      </c>
      <c r="H141" s="1">
        <v>21</v>
      </c>
      <c r="I141" s="1">
        <v>0.21</v>
      </c>
      <c r="J141" s="1">
        <v>35</v>
      </c>
    </row>
    <row r="142" spans="1:10" x14ac:dyDescent="0.2">
      <c r="A142" s="1" t="s">
        <v>259</v>
      </c>
      <c r="B142" s="1">
        <v>150</v>
      </c>
      <c r="C142" s="1" t="s">
        <v>360</v>
      </c>
      <c r="D142" s="1">
        <v>125.3</v>
      </c>
      <c r="E142" s="1">
        <v>20</v>
      </c>
      <c r="F142" s="1">
        <v>21</v>
      </c>
      <c r="G142" s="1">
        <v>22</v>
      </c>
      <c r="H142" s="1">
        <v>21</v>
      </c>
      <c r="I142" s="1">
        <v>0.21</v>
      </c>
      <c r="J142" s="1">
        <v>35</v>
      </c>
    </row>
    <row r="143" spans="1:10" x14ac:dyDescent="0.2">
      <c r="A143" s="1" t="s">
        <v>259</v>
      </c>
      <c r="B143" s="1">
        <v>187.5</v>
      </c>
      <c r="C143" s="1" t="s">
        <v>361</v>
      </c>
      <c r="D143" s="1">
        <v>156.69999999999999</v>
      </c>
      <c r="E143" s="1">
        <v>30</v>
      </c>
      <c r="F143" s="1">
        <v>31</v>
      </c>
      <c r="G143" s="1">
        <v>32</v>
      </c>
      <c r="H143" s="1">
        <v>31</v>
      </c>
      <c r="I143" s="1">
        <v>0.31</v>
      </c>
      <c r="J143" s="1">
        <v>35</v>
      </c>
    </row>
    <row r="144" spans="1:10" x14ac:dyDescent="0.2">
      <c r="A144" s="1" t="s">
        <v>259</v>
      </c>
      <c r="B144" s="1">
        <v>187.5</v>
      </c>
      <c r="C144" s="1" t="s">
        <v>362</v>
      </c>
      <c r="D144" s="1">
        <v>156.69999999999999</v>
      </c>
      <c r="E144" s="1">
        <v>31</v>
      </c>
      <c r="F144" s="1">
        <v>32</v>
      </c>
      <c r="G144" s="1">
        <v>33</v>
      </c>
      <c r="H144" s="1">
        <v>32</v>
      </c>
      <c r="I144" s="1">
        <v>0.32</v>
      </c>
      <c r="J144" s="1">
        <v>35</v>
      </c>
    </row>
    <row r="145" spans="1:10" x14ac:dyDescent="0.2">
      <c r="A145" s="1" t="s">
        <v>259</v>
      </c>
      <c r="B145" s="1">
        <v>187.5</v>
      </c>
      <c r="C145" s="1" t="s">
        <v>363</v>
      </c>
      <c r="D145" s="1">
        <v>156.69999999999999</v>
      </c>
      <c r="E145" s="1">
        <v>32</v>
      </c>
      <c r="F145" s="1">
        <v>33</v>
      </c>
      <c r="G145" s="1">
        <v>34</v>
      </c>
      <c r="H145" s="1">
        <v>33</v>
      </c>
      <c r="I145" s="1">
        <v>0.33</v>
      </c>
      <c r="J145" s="1">
        <v>35</v>
      </c>
    </row>
    <row r="146" spans="1:10" x14ac:dyDescent="0.2">
      <c r="A146" s="1" t="s">
        <v>259</v>
      </c>
      <c r="B146" s="1">
        <v>187.5</v>
      </c>
      <c r="C146" s="1" t="s">
        <v>364</v>
      </c>
      <c r="D146" s="1">
        <v>156.69999999999999</v>
      </c>
      <c r="E146" s="1">
        <v>34</v>
      </c>
      <c r="F146" s="1">
        <v>34</v>
      </c>
      <c r="G146" s="1">
        <v>35</v>
      </c>
      <c r="H146" s="1">
        <v>34.299999999999997</v>
      </c>
      <c r="I146" s="1">
        <v>0.34</v>
      </c>
      <c r="J146" s="1">
        <v>35</v>
      </c>
    </row>
    <row r="147" spans="1:10" x14ac:dyDescent="0.2">
      <c r="A147" s="1" t="s">
        <v>259</v>
      </c>
      <c r="B147" s="1">
        <v>187.5</v>
      </c>
      <c r="C147" s="1" t="s">
        <v>365</v>
      </c>
      <c r="D147" s="1">
        <v>156.69999999999999</v>
      </c>
      <c r="E147" s="1">
        <v>35</v>
      </c>
      <c r="F147" s="1">
        <v>35</v>
      </c>
      <c r="G147" s="1">
        <v>36</v>
      </c>
      <c r="H147" s="1">
        <v>35.299999999999997</v>
      </c>
      <c r="I147" s="1">
        <v>0.35</v>
      </c>
      <c r="J147" s="1">
        <v>35</v>
      </c>
    </row>
    <row r="148" spans="1:10" x14ac:dyDescent="0.2">
      <c r="A148" s="1" t="s">
        <v>259</v>
      </c>
      <c r="B148" s="1">
        <v>187.5</v>
      </c>
      <c r="C148" s="1" t="s">
        <v>366</v>
      </c>
      <c r="D148" s="1">
        <v>156.69999999999999</v>
      </c>
      <c r="E148" s="1">
        <v>36</v>
      </c>
      <c r="F148" s="1">
        <v>36</v>
      </c>
      <c r="G148" s="1">
        <v>37</v>
      </c>
      <c r="H148" s="1">
        <v>36.299999999999997</v>
      </c>
      <c r="I148" s="1">
        <v>0.36</v>
      </c>
      <c r="J148" s="1">
        <v>35</v>
      </c>
    </row>
    <row r="149" spans="1:10" x14ac:dyDescent="0.2">
      <c r="A149" s="1" t="s">
        <v>259</v>
      </c>
      <c r="B149" s="1">
        <v>225</v>
      </c>
      <c r="C149" s="1" t="s">
        <v>367</v>
      </c>
      <c r="D149" s="1">
        <v>188</v>
      </c>
      <c r="E149" s="1">
        <v>56</v>
      </c>
      <c r="F149" s="1">
        <v>57</v>
      </c>
      <c r="G149" s="1">
        <v>58</v>
      </c>
      <c r="H149" s="1">
        <v>57</v>
      </c>
      <c r="I149" s="1">
        <v>0.56999999999999995</v>
      </c>
      <c r="J149" s="1">
        <v>35</v>
      </c>
    </row>
    <row r="150" spans="1:10" x14ac:dyDescent="0.2">
      <c r="A150" s="1" t="s">
        <v>259</v>
      </c>
      <c r="B150" s="1">
        <v>225</v>
      </c>
      <c r="C150" s="1" t="s">
        <v>368</v>
      </c>
      <c r="D150" s="1">
        <v>188</v>
      </c>
      <c r="E150" s="1">
        <v>57</v>
      </c>
      <c r="F150" s="1">
        <v>58</v>
      </c>
      <c r="G150" s="1">
        <v>59</v>
      </c>
      <c r="H150" s="1">
        <v>58</v>
      </c>
      <c r="I150" s="1">
        <v>0.57999999999999996</v>
      </c>
      <c r="J150" s="1">
        <v>35</v>
      </c>
    </row>
    <row r="151" spans="1:10" x14ac:dyDescent="0.2">
      <c r="A151" s="1" t="s">
        <v>259</v>
      </c>
      <c r="B151" s="1">
        <v>225</v>
      </c>
      <c r="C151" s="1" t="s">
        <v>369</v>
      </c>
      <c r="D151" s="1">
        <v>188</v>
      </c>
      <c r="E151" s="1">
        <v>58</v>
      </c>
      <c r="F151" s="1">
        <v>59</v>
      </c>
      <c r="G151" s="1">
        <v>60</v>
      </c>
      <c r="H151" s="1">
        <v>59</v>
      </c>
      <c r="I151" s="1">
        <v>0.59</v>
      </c>
      <c r="J151" s="1">
        <v>35</v>
      </c>
    </row>
    <row r="152" spans="1:10" x14ac:dyDescent="0.2">
      <c r="A152" s="1" t="s">
        <v>259</v>
      </c>
      <c r="B152" s="1">
        <v>225</v>
      </c>
      <c r="C152" s="1" t="s">
        <v>370</v>
      </c>
      <c r="D152" s="1">
        <v>188</v>
      </c>
      <c r="E152" s="1">
        <v>59</v>
      </c>
      <c r="F152" s="1">
        <v>60</v>
      </c>
      <c r="G152" s="1">
        <v>61</v>
      </c>
      <c r="H152" s="1">
        <v>60</v>
      </c>
      <c r="I152" s="1">
        <v>0.6</v>
      </c>
      <c r="J152" s="1">
        <v>35</v>
      </c>
    </row>
    <row r="153" spans="1:10" x14ac:dyDescent="0.2">
      <c r="A153" s="1" t="s">
        <v>259</v>
      </c>
      <c r="B153" s="1">
        <v>225</v>
      </c>
      <c r="C153" s="1" t="s">
        <v>371</v>
      </c>
      <c r="D153" s="1">
        <v>188</v>
      </c>
      <c r="E153" s="1">
        <v>60</v>
      </c>
      <c r="F153" s="1">
        <v>61</v>
      </c>
      <c r="G153" s="1">
        <v>62</v>
      </c>
      <c r="H153" s="1">
        <v>61</v>
      </c>
      <c r="I153" s="1">
        <v>0.61</v>
      </c>
      <c r="J153" s="1">
        <v>35</v>
      </c>
    </row>
    <row r="154" spans="1:10" x14ac:dyDescent="0.2">
      <c r="A154" s="6" t="s">
        <v>301</v>
      </c>
      <c r="B154" s="6">
        <v>150</v>
      </c>
      <c r="C154" s="6" t="s">
        <v>372</v>
      </c>
      <c r="D154" s="6">
        <v>125.3</v>
      </c>
      <c r="E154" s="6">
        <v>55</v>
      </c>
      <c r="F154" s="6">
        <v>56</v>
      </c>
      <c r="G154" s="6">
        <v>57</v>
      </c>
      <c r="H154" s="6">
        <v>56</v>
      </c>
      <c r="I154" s="6">
        <v>0.56000000000000005</v>
      </c>
      <c r="J154" s="6">
        <v>34</v>
      </c>
    </row>
    <row r="155" spans="1:10" x14ac:dyDescent="0.2">
      <c r="A155" s="6" t="s">
        <v>301</v>
      </c>
      <c r="B155" s="6">
        <v>150</v>
      </c>
      <c r="C155" s="6" t="s">
        <v>373</v>
      </c>
      <c r="D155" s="6">
        <v>125.3</v>
      </c>
      <c r="E155" s="6">
        <v>55</v>
      </c>
      <c r="F155" s="6">
        <v>56</v>
      </c>
      <c r="G155" s="6">
        <v>57</v>
      </c>
      <c r="H155" s="6">
        <v>56</v>
      </c>
      <c r="I155" s="6">
        <v>0.56000000000000005</v>
      </c>
      <c r="J155" s="6">
        <v>34</v>
      </c>
    </row>
    <row r="156" spans="1:10" x14ac:dyDescent="0.2">
      <c r="A156" s="6" t="s">
        <v>301</v>
      </c>
      <c r="B156" s="6">
        <v>150</v>
      </c>
      <c r="C156" s="6" t="s">
        <v>374</v>
      </c>
      <c r="D156" s="6">
        <v>125.3</v>
      </c>
      <c r="E156" s="6">
        <v>55</v>
      </c>
      <c r="F156" s="6">
        <v>56</v>
      </c>
      <c r="G156" s="6">
        <v>57</v>
      </c>
      <c r="H156" s="6">
        <v>56</v>
      </c>
      <c r="I156" s="6">
        <v>0.56000000000000005</v>
      </c>
      <c r="J156" s="6">
        <v>34</v>
      </c>
    </row>
    <row r="157" spans="1:10" x14ac:dyDescent="0.2">
      <c r="A157" s="6" t="s">
        <v>301</v>
      </c>
      <c r="B157" s="6">
        <v>150</v>
      </c>
      <c r="C157" s="6" t="s">
        <v>375</v>
      </c>
      <c r="D157" s="6">
        <v>125.3</v>
      </c>
      <c r="E157" s="6">
        <v>55</v>
      </c>
      <c r="F157" s="6">
        <v>56</v>
      </c>
      <c r="G157" s="6">
        <v>57</v>
      </c>
      <c r="H157" s="6">
        <v>56</v>
      </c>
      <c r="I157" s="6">
        <v>0.56000000000000005</v>
      </c>
      <c r="J157" s="6">
        <v>34</v>
      </c>
    </row>
    <row r="158" spans="1:10" x14ac:dyDescent="0.2">
      <c r="A158" s="6" t="s">
        <v>301</v>
      </c>
      <c r="B158" s="6">
        <v>150</v>
      </c>
      <c r="C158" s="6" t="s">
        <v>376</v>
      </c>
      <c r="D158" s="6">
        <v>125.3</v>
      </c>
      <c r="E158" s="6">
        <v>55</v>
      </c>
      <c r="F158" s="6">
        <v>56</v>
      </c>
      <c r="G158" s="6">
        <v>57</v>
      </c>
      <c r="H158" s="6">
        <v>56</v>
      </c>
      <c r="I158" s="6">
        <v>0.56000000000000005</v>
      </c>
      <c r="J158" s="6">
        <v>34</v>
      </c>
    </row>
    <row r="159" spans="1:10" x14ac:dyDescent="0.2">
      <c r="A159" s="6" t="s">
        <v>301</v>
      </c>
      <c r="B159" s="6">
        <v>75</v>
      </c>
      <c r="C159" s="6" t="s">
        <v>377</v>
      </c>
      <c r="D159" s="6">
        <v>62.7</v>
      </c>
      <c r="E159" s="6">
        <v>48</v>
      </c>
      <c r="F159" s="6">
        <v>49</v>
      </c>
      <c r="G159" s="6">
        <v>50</v>
      </c>
      <c r="H159" s="6">
        <v>49</v>
      </c>
      <c r="I159" s="6">
        <v>0.49</v>
      </c>
      <c r="J159" s="6">
        <v>37</v>
      </c>
    </row>
    <row r="160" spans="1:10" x14ac:dyDescent="0.2">
      <c r="A160" s="6" t="s">
        <v>301</v>
      </c>
      <c r="B160" s="6">
        <v>75</v>
      </c>
      <c r="C160" s="6" t="s">
        <v>378</v>
      </c>
      <c r="D160" s="6">
        <v>62.7</v>
      </c>
      <c r="E160" s="6">
        <v>48</v>
      </c>
      <c r="F160" s="6">
        <v>49</v>
      </c>
      <c r="G160" s="6">
        <v>49</v>
      </c>
      <c r="H160" s="6">
        <v>48.7</v>
      </c>
      <c r="I160" s="6">
        <v>0.49</v>
      </c>
      <c r="J160" s="6">
        <v>37</v>
      </c>
    </row>
    <row r="161" spans="1:10" x14ac:dyDescent="0.2">
      <c r="A161" s="6" t="s">
        <v>301</v>
      </c>
      <c r="B161" s="6">
        <v>75</v>
      </c>
      <c r="C161" s="6" t="s">
        <v>379</v>
      </c>
      <c r="D161" s="6">
        <v>62.7</v>
      </c>
      <c r="E161" s="6">
        <v>48</v>
      </c>
      <c r="F161" s="6">
        <v>49</v>
      </c>
      <c r="G161" s="6">
        <v>48</v>
      </c>
      <c r="H161" s="6">
        <v>48.3</v>
      </c>
      <c r="I161" s="6">
        <v>0.48</v>
      </c>
      <c r="J161" s="6">
        <v>37</v>
      </c>
    </row>
    <row r="162" spans="1:10" x14ac:dyDescent="0.2">
      <c r="A162" s="6" t="s">
        <v>301</v>
      </c>
      <c r="B162" s="6">
        <v>75</v>
      </c>
      <c r="C162" s="6" t="s">
        <v>380</v>
      </c>
      <c r="D162" s="6">
        <v>62.7</v>
      </c>
      <c r="E162" s="6">
        <v>48</v>
      </c>
      <c r="F162" s="6">
        <v>49</v>
      </c>
      <c r="G162" s="6">
        <v>47</v>
      </c>
      <c r="H162" s="6">
        <v>48</v>
      </c>
      <c r="I162" s="6">
        <v>0.48</v>
      </c>
      <c r="J162" s="6">
        <v>37</v>
      </c>
    </row>
    <row r="163" spans="1:10" x14ac:dyDescent="0.2">
      <c r="A163" s="6" t="s">
        <v>301</v>
      </c>
      <c r="B163" s="6">
        <v>75</v>
      </c>
      <c r="C163" s="6" t="s">
        <v>381</v>
      </c>
      <c r="D163" s="6">
        <v>62.7</v>
      </c>
      <c r="E163" s="6">
        <v>48</v>
      </c>
      <c r="F163" s="6">
        <v>49</v>
      </c>
      <c r="G163" s="6">
        <v>47</v>
      </c>
      <c r="H163" s="6">
        <v>48</v>
      </c>
      <c r="I163" s="6">
        <v>0.48</v>
      </c>
      <c r="J163" s="6">
        <v>37</v>
      </c>
    </row>
    <row r="164" spans="1:10" x14ac:dyDescent="0.2">
      <c r="A164" s="6" t="s">
        <v>301</v>
      </c>
      <c r="B164" s="6">
        <v>0</v>
      </c>
      <c r="C164" s="6" t="s">
        <v>382</v>
      </c>
      <c r="D164" s="6">
        <v>0</v>
      </c>
      <c r="E164" s="6">
        <v>22</v>
      </c>
      <c r="F164" s="6">
        <v>21</v>
      </c>
      <c r="G164" s="6">
        <v>20</v>
      </c>
      <c r="H164" s="6">
        <v>21</v>
      </c>
      <c r="I164" s="6">
        <v>0.21</v>
      </c>
      <c r="J164" s="6">
        <v>37</v>
      </c>
    </row>
    <row r="165" spans="1:10" x14ac:dyDescent="0.2">
      <c r="A165" s="6" t="s">
        <v>301</v>
      </c>
      <c r="B165" s="6">
        <v>0</v>
      </c>
      <c r="C165" s="6" t="s">
        <v>383</v>
      </c>
      <c r="D165" s="6">
        <v>0</v>
      </c>
      <c r="E165" s="6">
        <v>21</v>
      </c>
      <c r="F165" s="6">
        <v>20</v>
      </c>
      <c r="G165" s="6">
        <v>19</v>
      </c>
      <c r="H165" s="6">
        <v>20</v>
      </c>
      <c r="I165" s="6">
        <v>0.2</v>
      </c>
      <c r="J165" s="6">
        <v>37</v>
      </c>
    </row>
    <row r="166" spans="1:10" x14ac:dyDescent="0.2">
      <c r="A166" s="6" t="s">
        <v>301</v>
      </c>
      <c r="B166" s="6">
        <v>0</v>
      </c>
      <c r="C166" s="6" t="s">
        <v>384</v>
      </c>
      <c r="D166" s="6">
        <v>0</v>
      </c>
      <c r="E166" s="6">
        <v>20</v>
      </c>
      <c r="F166" s="6">
        <v>19</v>
      </c>
      <c r="G166" s="6">
        <v>18</v>
      </c>
      <c r="H166" s="6">
        <v>19</v>
      </c>
      <c r="I166" s="6">
        <v>0.19</v>
      </c>
      <c r="J166" s="6">
        <v>37</v>
      </c>
    </row>
    <row r="167" spans="1:10" x14ac:dyDescent="0.2">
      <c r="A167" s="6" t="s">
        <v>301</v>
      </c>
      <c r="B167" s="6">
        <v>0</v>
      </c>
      <c r="C167" s="6" t="s">
        <v>385</v>
      </c>
      <c r="D167" s="6">
        <v>0</v>
      </c>
      <c r="E167" s="6">
        <v>19</v>
      </c>
      <c r="F167" s="6">
        <v>18</v>
      </c>
      <c r="G167" s="6">
        <v>17</v>
      </c>
      <c r="H167" s="6">
        <v>18</v>
      </c>
      <c r="I167" s="6">
        <v>0.18</v>
      </c>
      <c r="J167" s="6">
        <v>37</v>
      </c>
    </row>
    <row r="168" spans="1:10" x14ac:dyDescent="0.2">
      <c r="A168" s="6" t="s">
        <v>301</v>
      </c>
      <c r="B168" s="6">
        <v>0</v>
      </c>
      <c r="C168" s="6" t="s">
        <v>386</v>
      </c>
      <c r="D168" s="6">
        <v>0</v>
      </c>
      <c r="E168" s="6">
        <v>18</v>
      </c>
      <c r="F168" s="6">
        <v>17</v>
      </c>
      <c r="G168" s="6">
        <v>16</v>
      </c>
      <c r="H168" s="6">
        <v>17</v>
      </c>
      <c r="I168" s="6">
        <v>0.17</v>
      </c>
      <c r="J168" s="6">
        <v>37</v>
      </c>
    </row>
    <row r="170" spans="1:10" ht="15" customHeight="1" x14ac:dyDescent="0.2">
      <c r="A170" s="17" t="s">
        <v>387</v>
      </c>
      <c r="B170" s="17"/>
      <c r="C170" s="17"/>
      <c r="D170" s="17"/>
      <c r="E170" s="17"/>
      <c r="F170" s="17"/>
      <c r="G170" s="17"/>
      <c r="H170" s="17"/>
      <c r="I170" s="17"/>
      <c r="J170" s="17"/>
    </row>
    <row r="171" spans="1:10" ht="26.75" customHeight="1" x14ac:dyDescent="0.2">
      <c r="A171" s="3" t="s">
        <v>318</v>
      </c>
      <c r="B171" s="3" t="s">
        <v>250</v>
      </c>
      <c r="C171" s="17" t="s">
        <v>257</v>
      </c>
      <c r="D171" s="17"/>
      <c r="E171" s="17"/>
      <c r="F171" s="17"/>
      <c r="G171" s="17"/>
      <c r="H171" s="17"/>
      <c r="I171" s="17"/>
      <c r="J171" s="17"/>
    </row>
    <row r="172" spans="1:10" ht="28" x14ac:dyDescent="0.2">
      <c r="A172" s="7" t="s">
        <v>319</v>
      </c>
      <c r="B172" s="1">
        <v>0</v>
      </c>
      <c r="C172" s="24">
        <v>0</v>
      </c>
      <c r="D172" s="24"/>
      <c r="E172" s="24"/>
      <c r="F172" s="24"/>
      <c r="G172" s="24"/>
      <c r="H172" s="24"/>
      <c r="I172" s="24"/>
      <c r="J172" s="24"/>
    </row>
    <row r="173" spans="1:10" ht="28" x14ac:dyDescent="0.2">
      <c r="A173" s="7" t="s">
        <v>320</v>
      </c>
      <c r="B173" s="1">
        <v>37.5</v>
      </c>
      <c r="C173" s="24">
        <v>0.06</v>
      </c>
      <c r="D173" s="24"/>
      <c r="E173" s="24"/>
      <c r="F173" s="24"/>
      <c r="G173" s="24"/>
      <c r="H173" s="24"/>
      <c r="I173" s="24"/>
      <c r="J173" s="24"/>
    </row>
    <row r="174" spans="1:10" ht="28" x14ac:dyDescent="0.2">
      <c r="A174" s="7" t="s">
        <v>321</v>
      </c>
      <c r="B174" s="1">
        <v>75</v>
      </c>
      <c r="C174" s="24">
        <v>0.09</v>
      </c>
      <c r="D174" s="24"/>
      <c r="E174" s="24"/>
      <c r="F174" s="24"/>
      <c r="G174" s="24"/>
      <c r="H174" s="24"/>
      <c r="I174" s="24"/>
      <c r="J174" s="24"/>
    </row>
    <row r="175" spans="1:10" ht="28" x14ac:dyDescent="0.2">
      <c r="A175" s="7" t="s">
        <v>322</v>
      </c>
      <c r="B175" s="1">
        <v>112.5</v>
      </c>
      <c r="C175" s="24">
        <v>0.15</v>
      </c>
      <c r="D175" s="24"/>
      <c r="E175" s="24"/>
      <c r="F175" s="24"/>
      <c r="G175" s="24"/>
      <c r="H175" s="24"/>
      <c r="I175" s="24"/>
      <c r="J175" s="24"/>
    </row>
    <row r="176" spans="1:10" ht="42" x14ac:dyDescent="0.2">
      <c r="A176" s="7" t="s">
        <v>323</v>
      </c>
      <c r="B176" s="1">
        <v>150</v>
      </c>
      <c r="C176" s="24">
        <v>0.21</v>
      </c>
      <c r="D176" s="24"/>
      <c r="E176" s="24"/>
      <c r="F176" s="24"/>
      <c r="G176" s="24"/>
      <c r="H176" s="24"/>
      <c r="I176" s="24"/>
      <c r="J176" s="24"/>
    </row>
    <row r="177" spans="1:10" ht="28" x14ac:dyDescent="0.2">
      <c r="A177" s="7" t="s">
        <v>324</v>
      </c>
      <c r="B177" s="1">
        <v>187.5</v>
      </c>
      <c r="C177" s="24">
        <v>0.36</v>
      </c>
      <c r="D177" s="24"/>
      <c r="E177" s="24"/>
      <c r="F177" s="24"/>
      <c r="G177" s="24"/>
      <c r="H177" s="24"/>
      <c r="I177" s="24"/>
      <c r="J177" s="24"/>
    </row>
    <row r="178" spans="1:10" ht="42" x14ac:dyDescent="0.2">
      <c r="A178" s="7" t="s">
        <v>325</v>
      </c>
      <c r="B178" s="1">
        <v>225</v>
      </c>
      <c r="C178" s="24">
        <v>0.61</v>
      </c>
      <c r="D178" s="24"/>
      <c r="E178" s="24"/>
      <c r="F178" s="24"/>
      <c r="G178" s="24"/>
      <c r="H178" s="24"/>
      <c r="I178" s="24"/>
      <c r="J178" s="24"/>
    </row>
    <row r="179" spans="1:10" ht="28" x14ac:dyDescent="0.2">
      <c r="A179" s="7" t="s">
        <v>326</v>
      </c>
      <c r="B179" s="1">
        <v>150</v>
      </c>
      <c r="C179" s="24">
        <v>0.56000000000000005</v>
      </c>
      <c r="D179" s="24"/>
      <c r="E179" s="24"/>
      <c r="F179" s="24"/>
      <c r="G179" s="24"/>
      <c r="H179" s="24"/>
      <c r="I179" s="24"/>
      <c r="J179" s="24"/>
    </row>
    <row r="180" spans="1:10" ht="28" x14ac:dyDescent="0.2">
      <c r="A180" s="7" t="s">
        <v>327</v>
      </c>
      <c r="B180" s="1">
        <v>75</v>
      </c>
      <c r="C180" s="24">
        <v>0.48</v>
      </c>
      <c r="D180" s="24"/>
      <c r="E180" s="24"/>
      <c r="F180" s="24"/>
      <c r="G180" s="24"/>
      <c r="H180" s="24"/>
      <c r="I180" s="24"/>
      <c r="J180" s="24"/>
    </row>
    <row r="181" spans="1:10" ht="42" x14ac:dyDescent="0.2">
      <c r="A181" s="7" t="s">
        <v>328</v>
      </c>
      <c r="B181" s="1">
        <v>0</v>
      </c>
      <c r="C181" s="24">
        <v>0.17</v>
      </c>
      <c r="D181" s="24"/>
      <c r="E181" s="24"/>
      <c r="F181" s="24"/>
      <c r="G181" s="24"/>
      <c r="H181" s="24"/>
      <c r="I181" s="24"/>
      <c r="J181" s="24"/>
    </row>
    <row r="184" spans="1:10" ht="15" customHeight="1" x14ac:dyDescent="0.2">
      <c r="A184" s="25" t="s">
        <v>719</v>
      </c>
      <c r="B184" s="25"/>
      <c r="C184" s="25"/>
      <c r="D184" s="25"/>
      <c r="E184" s="25"/>
      <c r="F184" s="25"/>
      <c r="G184" s="25"/>
      <c r="H184" s="25"/>
      <c r="I184" s="25"/>
      <c r="J184" s="25"/>
    </row>
    <row r="185" spans="1:10" ht="15" customHeight="1" x14ac:dyDescent="0.2">
      <c r="A185" s="26" t="s">
        <v>225</v>
      </c>
      <c r="B185" s="27"/>
      <c r="C185" s="28" t="s">
        <v>389</v>
      </c>
      <c r="D185" s="29"/>
      <c r="E185" s="29"/>
      <c r="F185" s="29"/>
      <c r="G185" s="29"/>
      <c r="H185" s="29"/>
      <c r="I185" s="29"/>
      <c r="J185" s="30"/>
    </row>
    <row r="186" spans="1:10" ht="15" customHeight="1" x14ac:dyDescent="0.2">
      <c r="A186" s="26" t="s">
        <v>227</v>
      </c>
      <c r="B186" s="27"/>
      <c r="C186" s="28" t="s">
        <v>390</v>
      </c>
      <c r="D186" s="29"/>
      <c r="E186" s="29"/>
      <c r="F186" s="29"/>
      <c r="G186" s="29"/>
      <c r="H186" s="29"/>
      <c r="I186" s="29"/>
      <c r="J186" s="30"/>
    </row>
    <row r="187" spans="1:10" ht="15" customHeight="1" x14ac:dyDescent="0.2">
      <c r="A187" s="18" t="s">
        <v>229</v>
      </c>
      <c r="B187" s="18"/>
      <c r="C187" s="16" t="s">
        <v>721</v>
      </c>
      <c r="D187" s="16"/>
      <c r="E187" s="16"/>
      <c r="F187" s="16"/>
      <c r="G187" s="16"/>
      <c r="H187" s="16"/>
      <c r="I187" s="16"/>
      <c r="J187" s="16"/>
    </row>
    <row r="188" spans="1:10" ht="15" customHeight="1" x14ac:dyDescent="0.2">
      <c r="A188" s="18" t="s">
        <v>233</v>
      </c>
      <c r="B188" s="18"/>
      <c r="C188" s="31">
        <v>45623</v>
      </c>
      <c r="D188" s="16"/>
      <c r="E188" s="16"/>
      <c r="F188" s="16"/>
      <c r="G188" s="16"/>
      <c r="H188" s="16"/>
      <c r="I188" s="16"/>
      <c r="J188" s="16"/>
    </row>
    <row r="189" spans="1:10" ht="15" customHeight="1" x14ac:dyDescent="0.2">
      <c r="A189" s="18" t="s">
        <v>235</v>
      </c>
      <c r="B189" s="18"/>
      <c r="C189" s="16" t="s">
        <v>720</v>
      </c>
      <c r="D189" s="16"/>
      <c r="E189" s="16"/>
      <c r="F189" s="16"/>
      <c r="G189" s="16"/>
      <c r="H189" s="16"/>
      <c r="I189" s="16"/>
      <c r="J189" s="16"/>
    </row>
    <row r="190" spans="1:10" ht="15" customHeight="1" x14ac:dyDescent="0.2">
      <c r="A190" s="18" t="s">
        <v>237</v>
      </c>
      <c r="B190" s="18"/>
      <c r="C190" s="16" t="s">
        <v>393</v>
      </c>
      <c r="D190" s="16"/>
      <c r="E190" s="16"/>
      <c r="F190" s="16"/>
      <c r="G190" s="16"/>
      <c r="H190" s="16"/>
      <c r="I190" s="16"/>
      <c r="J190" s="16"/>
    </row>
    <row r="191" spans="1:10" ht="15" customHeight="1" x14ac:dyDescent="0.2">
      <c r="A191" s="18" t="s">
        <v>239</v>
      </c>
      <c r="B191" s="18"/>
      <c r="C191" s="16" t="s">
        <v>394</v>
      </c>
      <c r="D191" s="16"/>
      <c r="E191" s="16"/>
      <c r="F191" s="16"/>
      <c r="G191" s="16"/>
      <c r="H191" s="16"/>
      <c r="I191" s="16"/>
      <c r="J191" s="16"/>
    </row>
    <row r="192" spans="1:10" ht="15" customHeight="1" x14ac:dyDescent="0.2">
      <c r="A192" s="18" t="s">
        <v>241</v>
      </c>
      <c r="B192" s="18"/>
      <c r="C192" s="16" t="s">
        <v>395</v>
      </c>
      <c r="D192" s="16"/>
      <c r="E192" s="16"/>
      <c r="F192" s="16"/>
      <c r="G192" s="16"/>
      <c r="H192" s="16"/>
      <c r="I192" s="16"/>
      <c r="J192" s="16"/>
    </row>
    <row r="193" spans="1:10" ht="15" customHeight="1" x14ac:dyDescent="0.2">
      <c r="A193" s="18" t="s">
        <v>245</v>
      </c>
      <c r="B193" s="18"/>
      <c r="C193" s="16" t="s">
        <v>396</v>
      </c>
      <c r="D193" s="16"/>
      <c r="E193" s="16"/>
      <c r="F193" s="16"/>
      <c r="G193" s="16"/>
      <c r="H193" s="16"/>
      <c r="I193" s="16"/>
      <c r="J193" s="16"/>
    </row>
    <row r="194" spans="1:10" ht="15" customHeight="1" x14ac:dyDescent="0.2">
      <c r="A194" s="18" t="s">
        <v>397</v>
      </c>
      <c r="B194" s="18"/>
      <c r="C194" s="16" t="s">
        <v>398</v>
      </c>
      <c r="D194" s="16"/>
      <c r="E194" s="16"/>
      <c r="F194" s="16"/>
      <c r="G194" s="16"/>
      <c r="H194" s="16"/>
      <c r="I194" s="16"/>
      <c r="J194" s="16"/>
    </row>
    <row r="195" spans="1:10" ht="14.5" customHeight="1" x14ac:dyDescent="0.2"/>
    <row r="196" spans="1:10" ht="31.5" customHeight="1" x14ac:dyDescent="0.2">
      <c r="A196" s="3" t="s">
        <v>249</v>
      </c>
      <c r="B196" s="3" t="s">
        <v>399</v>
      </c>
      <c r="C196" s="3" t="s">
        <v>251</v>
      </c>
      <c r="D196" s="3" t="s">
        <v>252</v>
      </c>
      <c r="E196" s="3" t="s">
        <v>253</v>
      </c>
      <c r="F196" s="3" t="s">
        <v>254</v>
      </c>
      <c r="G196" s="3" t="s">
        <v>255</v>
      </c>
      <c r="H196" s="3" t="s">
        <v>256</v>
      </c>
      <c r="I196" s="3" t="s">
        <v>257</v>
      </c>
      <c r="J196" s="3" t="s">
        <v>258</v>
      </c>
    </row>
    <row r="197" spans="1:10" x14ac:dyDescent="0.2">
      <c r="A197" s="1" t="s">
        <v>259</v>
      </c>
      <c r="B197" s="1">
        <v>0</v>
      </c>
      <c r="C197" s="1" t="s">
        <v>400</v>
      </c>
      <c r="D197" s="1">
        <v>0</v>
      </c>
      <c r="E197" s="1" t="s">
        <v>400</v>
      </c>
      <c r="F197" s="1" t="s">
        <v>400</v>
      </c>
      <c r="G197" s="1" t="s">
        <v>400</v>
      </c>
      <c r="H197" s="1" t="s">
        <v>400</v>
      </c>
      <c r="I197" s="1" t="s">
        <v>400</v>
      </c>
      <c r="J197" s="1" t="s">
        <v>400</v>
      </c>
    </row>
    <row r="198" spans="1:10" x14ac:dyDescent="0.2">
      <c r="A198" s="1" t="s">
        <v>259</v>
      </c>
      <c r="B198" s="1">
        <v>0.75</v>
      </c>
      <c r="C198" s="1" t="s">
        <v>413</v>
      </c>
      <c r="D198" s="1">
        <v>62.8</v>
      </c>
      <c r="E198" s="1">
        <v>0</v>
      </c>
      <c r="F198" s="1">
        <v>0</v>
      </c>
      <c r="G198" s="1">
        <v>0</v>
      </c>
      <c r="H198" s="1">
        <v>0</v>
      </c>
      <c r="I198" s="1">
        <v>0</v>
      </c>
      <c r="J198" s="1">
        <v>34</v>
      </c>
    </row>
    <row r="199" spans="1:10" x14ac:dyDescent="0.2">
      <c r="A199" s="1" t="s">
        <v>259</v>
      </c>
      <c r="B199" s="1">
        <v>0.75</v>
      </c>
      <c r="C199" s="1" t="s">
        <v>414</v>
      </c>
      <c r="D199" s="1">
        <v>62.8</v>
      </c>
      <c r="E199" s="1">
        <v>2</v>
      </c>
      <c r="F199" s="1">
        <v>2</v>
      </c>
      <c r="G199" s="1">
        <v>3</v>
      </c>
      <c r="H199" s="1">
        <v>2.2999999999999998</v>
      </c>
      <c r="I199" s="1">
        <v>0.02</v>
      </c>
      <c r="J199" s="1">
        <v>34</v>
      </c>
    </row>
    <row r="200" spans="1:10" x14ac:dyDescent="0.2">
      <c r="A200" s="1" t="s">
        <v>259</v>
      </c>
      <c r="B200" s="1">
        <v>0.75</v>
      </c>
      <c r="C200" s="1" t="s">
        <v>415</v>
      </c>
      <c r="D200" s="1">
        <v>62.8</v>
      </c>
      <c r="E200" s="1">
        <v>3</v>
      </c>
      <c r="F200" s="1">
        <v>3</v>
      </c>
      <c r="G200" s="1">
        <v>4</v>
      </c>
      <c r="H200" s="1">
        <v>3.3</v>
      </c>
      <c r="I200" s="1">
        <v>0.03</v>
      </c>
      <c r="J200" s="1">
        <v>34</v>
      </c>
    </row>
    <row r="201" spans="1:10" x14ac:dyDescent="0.2">
      <c r="A201" s="1" t="s">
        <v>259</v>
      </c>
      <c r="B201" s="1">
        <v>0.75</v>
      </c>
      <c r="C201" s="1" t="s">
        <v>416</v>
      </c>
      <c r="D201" s="1">
        <v>62.8</v>
      </c>
      <c r="E201" s="1">
        <v>4</v>
      </c>
      <c r="F201" s="1">
        <v>4</v>
      </c>
      <c r="G201" s="1">
        <v>5</v>
      </c>
      <c r="H201" s="1">
        <v>4.3</v>
      </c>
      <c r="I201" s="1">
        <v>0.04</v>
      </c>
      <c r="J201" s="1">
        <v>34</v>
      </c>
    </row>
    <row r="202" spans="1:10" x14ac:dyDescent="0.2">
      <c r="A202" s="1" t="s">
        <v>259</v>
      </c>
      <c r="B202" s="1">
        <v>0.75</v>
      </c>
      <c r="C202" s="1" t="s">
        <v>417</v>
      </c>
      <c r="D202" s="1">
        <v>62.8</v>
      </c>
      <c r="E202" s="1">
        <v>5</v>
      </c>
      <c r="F202" s="1">
        <v>5</v>
      </c>
      <c r="G202" s="1">
        <v>6</v>
      </c>
      <c r="H202" s="1">
        <v>5.3</v>
      </c>
      <c r="I202" s="1">
        <v>0.05</v>
      </c>
      <c r="J202" s="1">
        <v>34</v>
      </c>
    </row>
    <row r="203" spans="1:10" x14ac:dyDescent="0.2">
      <c r="A203" s="1" t="s">
        <v>259</v>
      </c>
      <c r="B203" s="1">
        <v>0.75</v>
      </c>
      <c r="C203" s="1" t="s">
        <v>418</v>
      </c>
      <c r="D203" s="1">
        <v>62.8</v>
      </c>
      <c r="E203" s="1">
        <v>6</v>
      </c>
      <c r="F203" s="1">
        <v>6</v>
      </c>
      <c r="G203" s="1">
        <v>7</v>
      </c>
      <c r="H203" s="1">
        <v>6.3</v>
      </c>
      <c r="I203" s="1">
        <v>0.06</v>
      </c>
      <c r="J203" s="1">
        <v>34</v>
      </c>
    </row>
    <row r="204" spans="1:10" x14ac:dyDescent="0.2">
      <c r="A204" s="1" t="s">
        <v>259</v>
      </c>
      <c r="B204" s="1">
        <v>1.5</v>
      </c>
      <c r="C204" s="1" t="s">
        <v>419</v>
      </c>
      <c r="D204" s="1">
        <v>125.3</v>
      </c>
      <c r="E204" s="1">
        <v>10</v>
      </c>
      <c r="F204" s="1">
        <v>10</v>
      </c>
      <c r="G204" s="1">
        <v>11</v>
      </c>
      <c r="H204" s="1">
        <v>10.3</v>
      </c>
      <c r="I204" s="1">
        <v>0.1</v>
      </c>
      <c r="J204" s="1">
        <v>34</v>
      </c>
    </row>
    <row r="205" spans="1:10" x14ac:dyDescent="0.2">
      <c r="A205" s="1" t="s">
        <v>259</v>
      </c>
      <c r="B205" s="1">
        <v>1.5</v>
      </c>
      <c r="C205" s="1" t="s">
        <v>420</v>
      </c>
      <c r="D205" s="1">
        <v>125.3</v>
      </c>
      <c r="E205" s="1">
        <v>11</v>
      </c>
      <c r="F205" s="1">
        <v>11</v>
      </c>
      <c r="G205" s="1">
        <v>12</v>
      </c>
      <c r="H205" s="1">
        <v>11.3</v>
      </c>
      <c r="I205" s="1">
        <v>0.11</v>
      </c>
      <c r="J205" s="1">
        <v>34</v>
      </c>
    </row>
    <row r="206" spans="1:10" x14ac:dyDescent="0.2">
      <c r="A206" s="1" t="s">
        <v>259</v>
      </c>
      <c r="B206" s="1">
        <v>1.5</v>
      </c>
      <c r="C206" s="1" t="s">
        <v>421</v>
      </c>
      <c r="D206" s="1">
        <v>125.3</v>
      </c>
      <c r="E206" s="1">
        <v>12</v>
      </c>
      <c r="F206" s="1">
        <v>12</v>
      </c>
      <c r="G206" s="1">
        <v>13</v>
      </c>
      <c r="H206" s="1">
        <v>12.3</v>
      </c>
      <c r="I206" s="1">
        <v>0.12</v>
      </c>
      <c r="J206" s="1">
        <v>34</v>
      </c>
    </row>
    <row r="207" spans="1:10" x14ac:dyDescent="0.2">
      <c r="A207" s="1" t="s">
        <v>259</v>
      </c>
      <c r="B207" s="1">
        <v>1.5</v>
      </c>
      <c r="C207" s="1" t="s">
        <v>422</v>
      </c>
      <c r="D207" s="1">
        <v>125.3</v>
      </c>
      <c r="E207" s="1">
        <v>13</v>
      </c>
      <c r="F207" s="1">
        <v>13</v>
      </c>
      <c r="G207" s="1">
        <v>14</v>
      </c>
      <c r="H207" s="1">
        <v>13.3</v>
      </c>
      <c r="I207" s="1">
        <v>0.13</v>
      </c>
      <c r="J207" s="1">
        <v>34</v>
      </c>
    </row>
    <row r="208" spans="1:10" x14ac:dyDescent="0.2">
      <c r="A208" s="1" t="s">
        <v>259</v>
      </c>
      <c r="B208" s="1">
        <v>1.5</v>
      </c>
      <c r="C208" s="1" t="s">
        <v>423</v>
      </c>
      <c r="D208" s="1">
        <v>125.3</v>
      </c>
      <c r="E208" s="1">
        <v>14</v>
      </c>
      <c r="F208" s="1">
        <v>14</v>
      </c>
      <c r="G208" s="1">
        <v>15</v>
      </c>
      <c r="H208" s="1">
        <v>14.3</v>
      </c>
      <c r="I208" s="1">
        <v>0.14000000000000001</v>
      </c>
      <c r="J208" s="1">
        <v>34</v>
      </c>
    </row>
    <row r="209" spans="1:10" x14ac:dyDescent="0.2">
      <c r="A209" s="1" t="s">
        <v>259</v>
      </c>
      <c r="B209" s="1">
        <v>1.5</v>
      </c>
      <c r="C209" s="1" t="s">
        <v>424</v>
      </c>
      <c r="D209" s="1">
        <v>125.3</v>
      </c>
      <c r="E209" s="1">
        <v>15</v>
      </c>
      <c r="F209" s="1">
        <v>15</v>
      </c>
      <c r="G209" s="1">
        <v>16</v>
      </c>
      <c r="H209" s="1">
        <v>15.3</v>
      </c>
      <c r="I209" s="1">
        <v>0.15</v>
      </c>
      <c r="J209" s="1">
        <v>34</v>
      </c>
    </row>
    <row r="210" spans="1:10" x14ac:dyDescent="0.2">
      <c r="A210" s="1" t="s">
        <v>259</v>
      </c>
      <c r="B210" s="1">
        <v>2.25</v>
      </c>
      <c r="C210" s="1" t="s">
        <v>425</v>
      </c>
      <c r="D210" s="1">
        <v>188</v>
      </c>
      <c r="E210" s="1">
        <v>20</v>
      </c>
      <c r="F210" s="1">
        <v>21</v>
      </c>
      <c r="G210" s="1">
        <v>22</v>
      </c>
      <c r="H210" s="1">
        <v>21</v>
      </c>
      <c r="I210" s="1">
        <v>0.21</v>
      </c>
      <c r="J210" s="1">
        <v>35</v>
      </c>
    </row>
    <row r="211" spans="1:10" x14ac:dyDescent="0.2">
      <c r="A211" s="1" t="s">
        <v>259</v>
      </c>
      <c r="B211" s="1">
        <v>2.25</v>
      </c>
      <c r="C211" s="1" t="s">
        <v>426</v>
      </c>
      <c r="D211" s="1">
        <v>188</v>
      </c>
      <c r="E211" s="1">
        <v>21</v>
      </c>
      <c r="F211" s="1">
        <v>22</v>
      </c>
      <c r="G211" s="1">
        <v>23</v>
      </c>
      <c r="H211" s="1">
        <v>22</v>
      </c>
      <c r="I211" s="1">
        <v>0.22</v>
      </c>
      <c r="J211" s="1">
        <v>35</v>
      </c>
    </row>
    <row r="212" spans="1:10" x14ac:dyDescent="0.2">
      <c r="A212" s="1" t="s">
        <v>259</v>
      </c>
      <c r="B212" s="1">
        <v>2.25</v>
      </c>
      <c r="C212" s="1" t="s">
        <v>427</v>
      </c>
      <c r="D212" s="1">
        <v>188</v>
      </c>
      <c r="E212" s="1">
        <v>22</v>
      </c>
      <c r="F212" s="1">
        <v>23</v>
      </c>
      <c r="G212" s="1">
        <v>24</v>
      </c>
      <c r="H212" s="1">
        <v>23</v>
      </c>
      <c r="I212" s="1">
        <v>0.23</v>
      </c>
      <c r="J212" s="1">
        <v>35</v>
      </c>
    </row>
    <row r="213" spans="1:10" x14ac:dyDescent="0.2">
      <c r="A213" s="1" t="s">
        <v>259</v>
      </c>
      <c r="B213" s="1">
        <v>2.25</v>
      </c>
      <c r="C213" s="1" t="s">
        <v>428</v>
      </c>
      <c r="D213" s="1">
        <v>188</v>
      </c>
      <c r="E213" s="1">
        <v>23</v>
      </c>
      <c r="F213" s="1">
        <v>24</v>
      </c>
      <c r="G213" s="1">
        <v>25</v>
      </c>
      <c r="H213" s="1">
        <v>24</v>
      </c>
      <c r="I213" s="1">
        <v>0.24</v>
      </c>
      <c r="J213" s="1">
        <v>35</v>
      </c>
    </row>
    <row r="214" spans="1:10" x14ac:dyDescent="0.2">
      <c r="A214" s="1" t="s">
        <v>259</v>
      </c>
      <c r="B214" s="1">
        <v>2.25</v>
      </c>
      <c r="C214" s="1" t="s">
        <v>429</v>
      </c>
      <c r="D214" s="1">
        <v>188</v>
      </c>
      <c r="E214" s="1">
        <v>24</v>
      </c>
      <c r="F214" s="1">
        <v>25</v>
      </c>
      <c r="G214" s="1">
        <v>26</v>
      </c>
      <c r="H214" s="1">
        <v>25</v>
      </c>
      <c r="I214" s="1">
        <v>0.25</v>
      </c>
      <c r="J214" s="1">
        <v>35</v>
      </c>
    </row>
    <row r="215" spans="1:10" x14ac:dyDescent="0.2">
      <c r="A215" s="1" t="s">
        <v>259</v>
      </c>
      <c r="B215" s="1">
        <v>2.25</v>
      </c>
      <c r="C215" s="12">
        <v>0.50347222222222221</v>
      </c>
      <c r="D215" s="1">
        <v>188</v>
      </c>
      <c r="E215" s="1">
        <v>25</v>
      </c>
      <c r="F215" s="1">
        <v>26</v>
      </c>
      <c r="G215" s="1">
        <v>27</v>
      </c>
      <c r="H215" s="1">
        <v>26</v>
      </c>
      <c r="I215" s="1">
        <v>0.26</v>
      </c>
      <c r="J215" s="1">
        <v>35</v>
      </c>
    </row>
    <row r="216" spans="1:10" x14ac:dyDescent="0.2">
      <c r="A216" s="1" t="s">
        <v>259</v>
      </c>
      <c r="B216" s="1">
        <v>3</v>
      </c>
      <c r="C216" s="12">
        <v>0.50555555555555554</v>
      </c>
      <c r="D216" s="1">
        <v>250.7</v>
      </c>
      <c r="E216" s="1">
        <v>30</v>
      </c>
      <c r="F216" s="1">
        <v>31</v>
      </c>
      <c r="G216" s="1">
        <v>32</v>
      </c>
      <c r="H216" s="1">
        <v>31</v>
      </c>
      <c r="I216" s="1">
        <v>0.31</v>
      </c>
      <c r="J216" s="1">
        <v>35</v>
      </c>
    </row>
    <row r="217" spans="1:10" x14ac:dyDescent="0.2">
      <c r="A217" s="1" t="s">
        <v>259</v>
      </c>
      <c r="B217" s="1">
        <v>3</v>
      </c>
      <c r="C217" s="12">
        <v>0.50763888888888886</v>
      </c>
      <c r="D217" s="1">
        <v>250.7</v>
      </c>
      <c r="E217" s="1">
        <v>31</v>
      </c>
      <c r="F217" s="1">
        <v>32</v>
      </c>
      <c r="G217" s="1">
        <v>33</v>
      </c>
      <c r="H217" s="1">
        <v>32</v>
      </c>
      <c r="I217" s="1">
        <v>0.32</v>
      </c>
      <c r="J217" s="1">
        <v>35</v>
      </c>
    </row>
    <row r="218" spans="1:10" x14ac:dyDescent="0.2">
      <c r="A218" s="1" t="s">
        <v>259</v>
      </c>
      <c r="B218" s="1">
        <v>3</v>
      </c>
      <c r="C218" s="12">
        <v>0.50972222222222219</v>
      </c>
      <c r="D218" s="1">
        <v>250.7</v>
      </c>
      <c r="E218" s="1">
        <v>32</v>
      </c>
      <c r="F218" s="1">
        <v>33</v>
      </c>
      <c r="G218" s="1">
        <v>34</v>
      </c>
      <c r="H218" s="1">
        <v>33</v>
      </c>
      <c r="I218" s="1">
        <v>0.33</v>
      </c>
      <c r="J218" s="1">
        <v>35</v>
      </c>
    </row>
    <row r="219" spans="1:10" x14ac:dyDescent="0.2">
      <c r="A219" s="1" t="s">
        <v>259</v>
      </c>
      <c r="B219" s="1">
        <v>3</v>
      </c>
      <c r="C219" s="12">
        <v>0.51180555555555551</v>
      </c>
      <c r="D219" s="1">
        <v>250.7</v>
      </c>
      <c r="E219" s="1">
        <v>33</v>
      </c>
      <c r="F219" s="1">
        <v>34</v>
      </c>
      <c r="G219" s="1">
        <v>35</v>
      </c>
      <c r="H219" s="1">
        <v>34</v>
      </c>
      <c r="I219" s="1">
        <v>0.34</v>
      </c>
      <c r="J219" s="1">
        <v>35</v>
      </c>
    </row>
    <row r="220" spans="1:10" x14ac:dyDescent="0.2">
      <c r="A220" s="1" t="s">
        <v>259</v>
      </c>
      <c r="B220" s="1">
        <v>3</v>
      </c>
      <c r="C220" s="12">
        <v>0.51388888888888884</v>
      </c>
      <c r="D220" s="1">
        <v>250.7</v>
      </c>
      <c r="E220" s="1">
        <v>34</v>
      </c>
      <c r="F220" s="1">
        <v>35</v>
      </c>
      <c r="G220" s="1">
        <v>36</v>
      </c>
      <c r="H220" s="1">
        <v>35</v>
      </c>
      <c r="I220" s="1">
        <v>0.35</v>
      </c>
      <c r="J220" s="1">
        <v>35</v>
      </c>
    </row>
    <row r="221" spans="1:10" x14ac:dyDescent="0.2">
      <c r="A221" s="1" t="s">
        <v>259</v>
      </c>
      <c r="B221" s="1">
        <v>3</v>
      </c>
      <c r="C221" s="12">
        <v>0.51597222222222228</v>
      </c>
      <c r="D221" s="1">
        <v>250.7</v>
      </c>
      <c r="E221" s="1">
        <v>35</v>
      </c>
      <c r="F221" s="1">
        <v>36</v>
      </c>
      <c r="G221" s="1">
        <v>37</v>
      </c>
      <c r="H221" s="1">
        <v>36</v>
      </c>
      <c r="I221" s="1">
        <v>0.36</v>
      </c>
      <c r="J221" s="1">
        <v>35</v>
      </c>
    </row>
    <row r="222" spans="1:10" x14ac:dyDescent="0.2">
      <c r="A222" s="6" t="s">
        <v>301</v>
      </c>
      <c r="B222" s="6">
        <v>1.5</v>
      </c>
      <c r="C222" s="13">
        <v>0.5180555555555556</v>
      </c>
      <c r="D222" s="6">
        <v>125.3</v>
      </c>
      <c r="E222" s="6">
        <v>32</v>
      </c>
      <c r="F222" s="6">
        <v>33</v>
      </c>
      <c r="G222" s="6">
        <v>34</v>
      </c>
      <c r="H222" s="6">
        <v>33</v>
      </c>
      <c r="I222" s="6">
        <v>0.33</v>
      </c>
      <c r="J222" s="6">
        <v>35</v>
      </c>
    </row>
    <row r="223" spans="1:10" x14ac:dyDescent="0.2">
      <c r="A223" s="6" t="s">
        <v>301</v>
      </c>
      <c r="B223" s="6">
        <v>1.5</v>
      </c>
      <c r="C223" s="13">
        <v>0.52013888888888904</v>
      </c>
      <c r="D223" s="6">
        <v>125.3</v>
      </c>
      <c r="E223" s="6">
        <v>31</v>
      </c>
      <c r="F223" s="6">
        <v>32</v>
      </c>
      <c r="G223" s="6">
        <v>33</v>
      </c>
      <c r="H223" s="6">
        <v>32</v>
      </c>
      <c r="I223" s="6">
        <v>0.32</v>
      </c>
      <c r="J223" s="6">
        <v>35</v>
      </c>
    </row>
    <row r="224" spans="1:10" x14ac:dyDescent="0.2">
      <c r="A224" s="6" t="s">
        <v>301</v>
      </c>
      <c r="B224" s="6">
        <v>1.5</v>
      </c>
      <c r="C224" s="13">
        <v>0.52222222222222203</v>
      </c>
      <c r="D224" s="6">
        <v>125.3</v>
      </c>
      <c r="E224" s="6">
        <v>30</v>
      </c>
      <c r="F224" s="6">
        <v>31</v>
      </c>
      <c r="G224" s="6">
        <v>32</v>
      </c>
      <c r="H224" s="6">
        <v>31</v>
      </c>
      <c r="I224" s="6">
        <v>0.31</v>
      </c>
      <c r="J224" s="6">
        <v>35</v>
      </c>
    </row>
    <row r="225" spans="1:10" x14ac:dyDescent="0.2">
      <c r="A225" s="6" t="s">
        <v>301</v>
      </c>
      <c r="B225" s="6">
        <v>1.5</v>
      </c>
      <c r="C225" s="13">
        <v>0.52430555555555503</v>
      </c>
      <c r="D225" s="6">
        <v>125.3</v>
      </c>
      <c r="E225" s="6">
        <v>29</v>
      </c>
      <c r="F225" s="6">
        <v>30</v>
      </c>
      <c r="G225" s="6">
        <v>31</v>
      </c>
      <c r="H225" s="6">
        <v>30</v>
      </c>
      <c r="I225" s="6">
        <v>0.3</v>
      </c>
      <c r="J225" s="6">
        <v>35</v>
      </c>
    </row>
    <row r="226" spans="1:10" x14ac:dyDescent="0.2">
      <c r="A226" s="6" t="s">
        <v>301</v>
      </c>
      <c r="B226" s="6">
        <v>1.5</v>
      </c>
      <c r="C226" s="13">
        <v>0.52638888888888902</v>
      </c>
      <c r="D226" s="6">
        <v>125.3</v>
      </c>
      <c r="E226" s="6">
        <v>28</v>
      </c>
      <c r="F226" s="6">
        <v>29</v>
      </c>
      <c r="G226" s="6">
        <v>30</v>
      </c>
      <c r="H226" s="6">
        <v>29</v>
      </c>
      <c r="I226" s="6">
        <v>0.28999999999999998</v>
      </c>
      <c r="J226" s="6">
        <v>35</v>
      </c>
    </row>
    <row r="227" spans="1:10" x14ac:dyDescent="0.2">
      <c r="A227" s="6" t="s">
        <v>301</v>
      </c>
      <c r="B227" s="6">
        <v>0</v>
      </c>
      <c r="C227" s="13">
        <v>0.52847222222222301</v>
      </c>
      <c r="D227" s="6">
        <v>0</v>
      </c>
      <c r="E227" s="6">
        <v>21</v>
      </c>
      <c r="F227" s="6">
        <v>22</v>
      </c>
      <c r="G227" s="6">
        <v>24</v>
      </c>
      <c r="H227" s="6">
        <v>22.3</v>
      </c>
      <c r="I227" s="6">
        <v>0.22</v>
      </c>
      <c r="J227" s="6">
        <v>35</v>
      </c>
    </row>
    <row r="228" spans="1:10" x14ac:dyDescent="0.2">
      <c r="A228" s="6" t="s">
        <v>301</v>
      </c>
      <c r="B228" s="6">
        <v>0</v>
      </c>
      <c r="C228" s="13">
        <v>0.530555555555556</v>
      </c>
      <c r="D228" s="6">
        <v>0</v>
      </c>
      <c r="E228" s="6">
        <v>20</v>
      </c>
      <c r="F228" s="6">
        <v>21</v>
      </c>
      <c r="G228" s="6">
        <v>23</v>
      </c>
      <c r="H228" s="6">
        <v>21.3</v>
      </c>
      <c r="I228" s="6">
        <v>0.21</v>
      </c>
      <c r="J228" s="6">
        <v>35</v>
      </c>
    </row>
    <row r="229" spans="1:10" x14ac:dyDescent="0.2">
      <c r="A229" s="6" t="s">
        <v>301</v>
      </c>
      <c r="B229" s="6">
        <v>0</v>
      </c>
      <c r="C229" s="13">
        <v>0.53263888888888999</v>
      </c>
      <c r="D229" s="6">
        <v>0</v>
      </c>
      <c r="E229" s="6">
        <v>19</v>
      </c>
      <c r="F229" s="6">
        <v>20</v>
      </c>
      <c r="G229" s="6">
        <v>22</v>
      </c>
      <c r="H229" s="6">
        <v>20.3</v>
      </c>
      <c r="I229" s="6">
        <v>0.2</v>
      </c>
      <c r="J229" s="6">
        <v>35</v>
      </c>
    </row>
    <row r="230" spans="1:10" x14ac:dyDescent="0.2">
      <c r="A230" s="6" t="s">
        <v>301</v>
      </c>
      <c r="B230" s="6">
        <v>0</v>
      </c>
      <c r="C230" s="13">
        <v>0.53472222222222299</v>
      </c>
      <c r="D230" s="6">
        <v>0</v>
      </c>
      <c r="E230" s="6">
        <v>18</v>
      </c>
      <c r="F230" s="6">
        <v>19</v>
      </c>
      <c r="G230" s="6">
        <v>21</v>
      </c>
      <c r="H230" s="6">
        <v>19.3</v>
      </c>
      <c r="I230" s="6">
        <v>0.19</v>
      </c>
      <c r="J230" s="6">
        <v>35</v>
      </c>
    </row>
    <row r="231" spans="1:10" x14ac:dyDescent="0.2">
      <c r="A231" s="6" t="s">
        <v>301</v>
      </c>
      <c r="B231" s="6">
        <v>0</v>
      </c>
      <c r="C231" s="13">
        <v>0.53680555555555698</v>
      </c>
      <c r="D231" s="6">
        <v>0</v>
      </c>
      <c r="E231" s="6">
        <v>17</v>
      </c>
      <c r="F231" s="6">
        <v>18</v>
      </c>
      <c r="G231" s="6">
        <v>20</v>
      </c>
      <c r="H231" s="6">
        <v>18.3</v>
      </c>
      <c r="I231" s="6">
        <v>0.18</v>
      </c>
      <c r="J231" s="6">
        <v>35</v>
      </c>
    </row>
    <row r="233" spans="1:10" x14ac:dyDescent="0.2">
      <c r="A233" s="17" t="s">
        <v>722</v>
      </c>
      <c r="B233" s="17"/>
      <c r="C233" s="17"/>
      <c r="D233" s="17"/>
      <c r="E233" s="17"/>
      <c r="F233" s="17"/>
      <c r="G233" s="17"/>
      <c r="H233" s="17"/>
      <c r="I233" s="17"/>
      <c r="J233" s="17"/>
    </row>
    <row r="234" spans="1:10" ht="30" x14ac:dyDescent="0.2">
      <c r="A234" s="3" t="s">
        <v>318</v>
      </c>
      <c r="B234" s="3" t="s">
        <v>399</v>
      </c>
      <c r="C234" s="17" t="s">
        <v>257</v>
      </c>
      <c r="D234" s="17"/>
      <c r="E234" s="17"/>
      <c r="F234" s="17"/>
      <c r="G234" s="17"/>
      <c r="H234" s="17"/>
      <c r="I234" s="17"/>
      <c r="J234" s="17"/>
    </row>
    <row r="235" spans="1:10" ht="42" x14ac:dyDescent="0.2">
      <c r="A235" s="7" t="s">
        <v>453</v>
      </c>
      <c r="B235" s="1">
        <v>0.75</v>
      </c>
      <c r="C235" s="24">
        <v>0.06</v>
      </c>
      <c r="D235" s="24"/>
      <c r="E235" s="24"/>
      <c r="F235" s="24"/>
      <c r="G235" s="24"/>
      <c r="H235" s="24"/>
      <c r="I235" s="24"/>
      <c r="J235" s="24"/>
    </row>
    <row r="236" spans="1:10" ht="56" x14ac:dyDescent="0.2">
      <c r="A236" s="7" t="s">
        <v>455</v>
      </c>
      <c r="B236" s="1">
        <v>1.5</v>
      </c>
      <c r="C236" s="24">
        <v>0.15</v>
      </c>
      <c r="D236" s="24"/>
      <c r="E236" s="24"/>
      <c r="F236" s="24"/>
      <c r="G236" s="24"/>
      <c r="H236" s="24"/>
      <c r="I236" s="24"/>
      <c r="J236" s="24"/>
    </row>
    <row r="237" spans="1:10" ht="56" x14ac:dyDescent="0.2">
      <c r="A237" s="7" t="s">
        <v>457</v>
      </c>
      <c r="B237" s="1">
        <v>2.25</v>
      </c>
      <c r="C237" s="24">
        <v>0.26</v>
      </c>
      <c r="D237" s="24"/>
      <c r="E237" s="24"/>
      <c r="F237" s="24"/>
      <c r="G237" s="24"/>
      <c r="H237" s="24"/>
      <c r="I237" s="24"/>
      <c r="J237" s="24"/>
    </row>
    <row r="238" spans="1:10" ht="56" x14ac:dyDescent="0.2">
      <c r="A238" s="7" t="s">
        <v>724</v>
      </c>
      <c r="B238" s="1">
        <v>3</v>
      </c>
      <c r="C238" s="24">
        <v>0.36</v>
      </c>
      <c r="D238" s="24"/>
      <c r="E238" s="24"/>
      <c r="F238" s="24"/>
      <c r="G238" s="24"/>
      <c r="H238" s="24"/>
      <c r="I238" s="24"/>
      <c r="J238" s="24"/>
    </row>
    <row r="239" spans="1:10" ht="28" x14ac:dyDescent="0.2">
      <c r="A239" s="7" t="s">
        <v>458</v>
      </c>
      <c r="B239" s="1">
        <v>1.5</v>
      </c>
      <c r="C239" s="24">
        <v>0.28999999999999998</v>
      </c>
      <c r="D239" s="24"/>
      <c r="E239" s="24"/>
      <c r="F239" s="24"/>
      <c r="G239" s="24"/>
      <c r="H239" s="24"/>
      <c r="I239" s="24"/>
      <c r="J239" s="24"/>
    </row>
    <row r="240" spans="1:10" ht="28" x14ac:dyDescent="0.2">
      <c r="A240" s="7" t="s">
        <v>460</v>
      </c>
      <c r="B240" s="1">
        <v>0</v>
      </c>
      <c r="C240" s="24">
        <v>0.18</v>
      </c>
      <c r="D240" s="24"/>
      <c r="E240" s="24"/>
      <c r="F240" s="24"/>
      <c r="G240" s="24"/>
      <c r="H240" s="24"/>
      <c r="I240" s="24"/>
      <c r="J240" s="24"/>
    </row>
    <row r="243" spans="1:13" ht="16" x14ac:dyDescent="0.2">
      <c r="A243" s="25" t="s">
        <v>388</v>
      </c>
      <c r="B243" s="25"/>
      <c r="C243" s="25"/>
      <c r="D243" s="25"/>
      <c r="E243" s="25"/>
      <c r="F243" s="25"/>
      <c r="G243" s="25"/>
      <c r="H243" s="25"/>
      <c r="I243" s="25"/>
      <c r="J243" s="25"/>
      <c r="M243" t="s">
        <v>723</v>
      </c>
    </row>
    <row r="244" spans="1:13" x14ac:dyDescent="0.2">
      <c r="A244" s="26" t="s">
        <v>225</v>
      </c>
      <c r="B244" s="27"/>
      <c r="C244" s="28" t="s">
        <v>389</v>
      </c>
      <c r="D244" s="29"/>
      <c r="E244" s="29"/>
      <c r="F244" s="29"/>
      <c r="G244" s="29"/>
      <c r="H244" s="29"/>
      <c r="I244" s="29"/>
      <c r="J244" s="30"/>
    </row>
    <row r="245" spans="1:13" x14ac:dyDescent="0.2">
      <c r="A245" s="26" t="s">
        <v>227</v>
      </c>
      <c r="B245" s="27"/>
      <c r="C245" s="28" t="s">
        <v>390</v>
      </c>
      <c r="D245" s="29"/>
      <c r="E245" s="29"/>
      <c r="F245" s="29"/>
      <c r="G245" s="29"/>
      <c r="H245" s="29"/>
      <c r="I245" s="29"/>
      <c r="J245" s="30"/>
    </row>
    <row r="246" spans="1:13" x14ac:dyDescent="0.2">
      <c r="A246" s="18" t="s">
        <v>229</v>
      </c>
      <c r="B246" s="18"/>
      <c r="C246" s="16" t="s">
        <v>222</v>
      </c>
      <c r="D246" s="16"/>
      <c r="E246" s="16"/>
      <c r="F246" s="16"/>
      <c r="G246" s="16"/>
      <c r="H246" s="16"/>
      <c r="I246" s="16"/>
      <c r="J246" s="16"/>
    </row>
    <row r="247" spans="1:13" x14ac:dyDescent="0.2">
      <c r="A247" s="18" t="s">
        <v>233</v>
      </c>
      <c r="B247" s="18"/>
      <c r="C247" s="16" t="s">
        <v>391</v>
      </c>
      <c r="D247" s="16"/>
      <c r="E247" s="16"/>
      <c r="F247" s="16"/>
      <c r="G247" s="16"/>
      <c r="H247" s="16"/>
      <c r="I247" s="16"/>
      <c r="J247" s="16"/>
    </row>
    <row r="248" spans="1:13" x14ac:dyDescent="0.2">
      <c r="A248" s="18" t="s">
        <v>235</v>
      </c>
      <c r="B248" s="18"/>
      <c r="C248" s="16" t="s">
        <v>392</v>
      </c>
      <c r="D248" s="16"/>
      <c r="E248" s="16"/>
      <c r="F248" s="16"/>
      <c r="G248" s="16"/>
      <c r="H248" s="16"/>
      <c r="I248" s="16"/>
      <c r="J248" s="16"/>
    </row>
    <row r="249" spans="1:13" ht="15" customHeight="1" x14ac:dyDescent="0.2">
      <c r="A249" s="18" t="s">
        <v>237</v>
      </c>
      <c r="B249" s="18"/>
      <c r="C249" s="16" t="s">
        <v>393</v>
      </c>
      <c r="D249" s="16"/>
      <c r="E249" s="16"/>
      <c r="F249" s="16"/>
      <c r="G249" s="16"/>
      <c r="H249" s="16"/>
      <c r="I249" s="16"/>
      <c r="J249" s="16"/>
    </row>
    <row r="250" spans="1:13" ht="26.75" customHeight="1" x14ac:dyDescent="0.2">
      <c r="A250" s="18" t="s">
        <v>239</v>
      </c>
      <c r="B250" s="18"/>
      <c r="C250" s="16" t="s">
        <v>394</v>
      </c>
      <c r="D250" s="16"/>
      <c r="E250" s="16"/>
      <c r="F250" s="16"/>
      <c r="G250" s="16"/>
      <c r="H250" s="16"/>
      <c r="I250" s="16"/>
      <c r="J250" s="16"/>
    </row>
    <row r="251" spans="1:13" x14ac:dyDescent="0.2">
      <c r="A251" s="18" t="s">
        <v>241</v>
      </c>
      <c r="B251" s="18"/>
      <c r="C251" s="16" t="s">
        <v>395</v>
      </c>
      <c r="D251" s="16"/>
      <c r="E251" s="16"/>
      <c r="F251" s="16"/>
      <c r="G251" s="16"/>
      <c r="H251" s="16"/>
      <c r="I251" s="16"/>
      <c r="J251" s="16"/>
    </row>
    <row r="252" spans="1:13" x14ac:dyDescent="0.2">
      <c r="A252" s="18" t="s">
        <v>245</v>
      </c>
      <c r="B252" s="18"/>
      <c r="C252" s="16" t="s">
        <v>396</v>
      </c>
      <c r="D252" s="16"/>
      <c r="E252" s="16"/>
      <c r="F252" s="16"/>
      <c r="G252" s="16"/>
      <c r="H252" s="16"/>
      <c r="I252" s="16"/>
      <c r="J252" s="16"/>
    </row>
    <row r="253" spans="1:13" x14ac:dyDescent="0.2">
      <c r="A253" s="18" t="s">
        <v>397</v>
      </c>
      <c r="B253" s="18"/>
      <c r="C253" s="16" t="s">
        <v>398</v>
      </c>
      <c r="D253" s="16"/>
      <c r="E253" s="16"/>
      <c r="F253" s="16"/>
      <c r="G253" s="16"/>
      <c r="H253" s="16"/>
      <c r="I253" s="16"/>
      <c r="J253" s="16"/>
    </row>
    <row r="255" spans="1:13" ht="30" x14ac:dyDescent="0.2">
      <c r="A255" s="3" t="s">
        <v>249</v>
      </c>
      <c r="B255" s="3" t="s">
        <v>399</v>
      </c>
      <c r="C255" s="3" t="s">
        <v>251</v>
      </c>
      <c r="D255" s="3" t="s">
        <v>252</v>
      </c>
      <c r="E255" s="3" t="s">
        <v>253</v>
      </c>
      <c r="F255" s="3" t="s">
        <v>254</v>
      </c>
      <c r="G255" s="3" t="s">
        <v>255</v>
      </c>
      <c r="H255" s="3" t="s">
        <v>256</v>
      </c>
      <c r="I255" s="3" t="s">
        <v>257</v>
      </c>
      <c r="J255" s="3" t="s">
        <v>258</v>
      </c>
    </row>
    <row r="256" spans="1:13" ht="14.5" customHeight="1" x14ac:dyDescent="0.2">
      <c r="A256" s="1" t="s">
        <v>259</v>
      </c>
      <c r="B256" s="1">
        <v>0</v>
      </c>
      <c r="C256" s="1" t="s">
        <v>400</v>
      </c>
      <c r="D256" s="1">
        <v>0</v>
      </c>
      <c r="E256" s="1" t="s">
        <v>400</v>
      </c>
      <c r="F256" s="1" t="s">
        <v>400</v>
      </c>
      <c r="G256" s="1" t="s">
        <v>400</v>
      </c>
      <c r="H256" s="1" t="s">
        <v>400</v>
      </c>
      <c r="I256" s="1" t="s">
        <v>400</v>
      </c>
      <c r="J256" s="1" t="s">
        <v>400</v>
      </c>
    </row>
    <row r="257" spans="1:10" x14ac:dyDescent="0.2">
      <c r="A257" s="1" t="s">
        <v>259</v>
      </c>
      <c r="B257" s="1">
        <v>0.38</v>
      </c>
      <c r="C257" s="1" t="s">
        <v>401</v>
      </c>
      <c r="D257" s="1">
        <v>31.3</v>
      </c>
      <c r="E257" s="1">
        <v>5</v>
      </c>
      <c r="F257" s="1">
        <v>5</v>
      </c>
      <c r="G257" s="1">
        <v>5</v>
      </c>
      <c r="H257" s="1">
        <v>5</v>
      </c>
      <c r="I257" s="1">
        <v>0.05</v>
      </c>
      <c r="J257" s="1">
        <v>34</v>
      </c>
    </row>
    <row r="258" spans="1:10" x14ac:dyDescent="0.2">
      <c r="A258" s="1" t="s">
        <v>259</v>
      </c>
      <c r="B258" s="1">
        <v>0.38</v>
      </c>
      <c r="C258" s="1" t="s">
        <v>402</v>
      </c>
      <c r="D258" s="1">
        <v>31.3</v>
      </c>
      <c r="E258" s="1">
        <v>5</v>
      </c>
      <c r="F258" s="1">
        <v>5</v>
      </c>
      <c r="G258" s="1">
        <v>5</v>
      </c>
      <c r="H258" s="1">
        <v>5</v>
      </c>
      <c r="I258" s="1">
        <v>0.05</v>
      </c>
      <c r="J258" s="1">
        <v>34</v>
      </c>
    </row>
    <row r="259" spans="1:10" x14ac:dyDescent="0.2">
      <c r="A259" s="1" t="s">
        <v>259</v>
      </c>
      <c r="B259" s="1">
        <v>0.38</v>
      </c>
      <c r="C259" s="1" t="s">
        <v>403</v>
      </c>
      <c r="D259" s="1">
        <v>31.3</v>
      </c>
      <c r="E259" s="1">
        <v>5</v>
      </c>
      <c r="F259" s="1">
        <v>5</v>
      </c>
      <c r="G259" s="1">
        <v>5</v>
      </c>
      <c r="H259" s="1">
        <v>5</v>
      </c>
      <c r="I259" s="1">
        <v>0.05</v>
      </c>
      <c r="J259" s="1">
        <v>34</v>
      </c>
    </row>
    <row r="260" spans="1:10" x14ac:dyDescent="0.2">
      <c r="A260" s="1" t="s">
        <v>259</v>
      </c>
      <c r="B260" s="1">
        <v>0.38</v>
      </c>
      <c r="C260" s="1" t="s">
        <v>404</v>
      </c>
      <c r="D260" s="1">
        <v>31.3</v>
      </c>
      <c r="E260" s="1">
        <v>5</v>
      </c>
      <c r="F260" s="1">
        <v>5</v>
      </c>
      <c r="G260" s="1">
        <v>5</v>
      </c>
      <c r="H260" s="1">
        <v>5</v>
      </c>
      <c r="I260" s="1">
        <v>0.05</v>
      </c>
      <c r="J260" s="1">
        <v>34</v>
      </c>
    </row>
    <row r="261" spans="1:10" x14ac:dyDescent="0.2">
      <c r="A261" s="1" t="s">
        <v>259</v>
      </c>
      <c r="B261" s="1">
        <v>0.38</v>
      </c>
      <c r="C261" s="1" t="s">
        <v>405</v>
      </c>
      <c r="D261" s="1">
        <v>31.3</v>
      </c>
      <c r="E261" s="1">
        <v>5</v>
      </c>
      <c r="F261" s="1">
        <v>5</v>
      </c>
      <c r="G261" s="1">
        <v>5</v>
      </c>
      <c r="H261" s="1">
        <v>5</v>
      </c>
      <c r="I261" s="1">
        <v>0.05</v>
      </c>
      <c r="J261" s="1">
        <v>34</v>
      </c>
    </row>
    <row r="262" spans="1:10" x14ac:dyDescent="0.2">
      <c r="A262" s="1" t="s">
        <v>259</v>
      </c>
      <c r="B262" s="1">
        <v>0.38</v>
      </c>
      <c r="C262" s="1" t="s">
        <v>406</v>
      </c>
      <c r="D262" s="1">
        <v>31.3</v>
      </c>
      <c r="E262" s="1">
        <v>5</v>
      </c>
      <c r="F262" s="1">
        <v>5</v>
      </c>
      <c r="G262" s="1">
        <v>5</v>
      </c>
      <c r="H262" s="1">
        <v>5</v>
      </c>
      <c r="I262" s="1">
        <v>0.05</v>
      </c>
      <c r="J262" s="1">
        <v>34</v>
      </c>
    </row>
    <row r="263" spans="1:10" x14ac:dyDescent="0.2">
      <c r="A263" s="1" t="s">
        <v>259</v>
      </c>
      <c r="B263" s="1">
        <v>0.75</v>
      </c>
      <c r="C263" s="1" t="s">
        <v>407</v>
      </c>
      <c r="D263" s="1">
        <v>62.7</v>
      </c>
      <c r="E263" s="1">
        <v>6</v>
      </c>
      <c r="F263" s="1">
        <v>7</v>
      </c>
      <c r="G263" s="1">
        <v>7</v>
      </c>
      <c r="H263" s="1">
        <v>6.7</v>
      </c>
      <c r="I263" s="1">
        <v>7.0000000000000007E-2</v>
      </c>
      <c r="J263" s="1">
        <v>34</v>
      </c>
    </row>
    <row r="264" spans="1:10" x14ac:dyDescent="0.2">
      <c r="A264" s="1" t="s">
        <v>259</v>
      </c>
      <c r="B264" s="1">
        <v>0.75</v>
      </c>
      <c r="C264" s="1" t="s">
        <v>408</v>
      </c>
      <c r="D264" s="1">
        <v>62.7</v>
      </c>
      <c r="E264" s="1">
        <v>6</v>
      </c>
      <c r="F264" s="1">
        <v>7</v>
      </c>
      <c r="G264" s="1">
        <v>7</v>
      </c>
      <c r="H264" s="1">
        <v>6.7</v>
      </c>
      <c r="I264" s="1">
        <v>7.0000000000000007E-2</v>
      </c>
      <c r="J264" s="1">
        <v>34</v>
      </c>
    </row>
    <row r="265" spans="1:10" x14ac:dyDescent="0.2">
      <c r="A265" s="1" t="s">
        <v>259</v>
      </c>
      <c r="B265" s="1">
        <v>0.75</v>
      </c>
      <c r="C265" s="1" t="s">
        <v>409</v>
      </c>
      <c r="D265" s="1">
        <v>62.7</v>
      </c>
      <c r="E265" s="1">
        <v>6</v>
      </c>
      <c r="F265" s="1">
        <v>7</v>
      </c>
      <c r="G265" s="1">
        <v>7</v>
      </c>
      <c r="H265" s="1">
        <v>6.7</v>
      </c>
      <c r="I265" s="1">
        <v>7.0000000000000007E-2</v>
      </c>
      <c r="J265" s="1">
        <v>34</v>
      </c>
    </row>
    <row r="266" spans="1:10" x14ac:dyDescent="0.2">
      <c r="A266" s="1" t="s">
        <v>259</v>
      </c>
      <c r="B266" s="1">
        <v>0.75</v>
      </c>
      <c r="C266" s="1" t="s">
        <v>410</v>
      </c>
      <c r="D266" s="1">
        <v>62.7</v>
      </c>
      <c r="E266" s="1">
        <v>6</v>
      </c>
      <c r="F266" s="1">
        <v>7</v>
      </c>
      <c r="G266" s="1">
        <v>7</v>
      </c>
      <c r="H266" s="1">
        <v>6.7</v>
      </c>
      <c r="I266" s="1">
        <v>7.0000000000000007E-2</v>
      </c>
      <c r="J266" s="1">
        <v>34</v>
      </c>
    </row>
    <row r="267" spans="1:10" x14ac:dyDescent="0.2">
      <c r="A267" s="1" t="s">
        <v>259</v>
      </c>
      <c r="B267" s="1">
        <v>0.75</v>
      </c>
      <c r="C267" s="1" t="s">
        <v>411</v>
      </c>
      <c r="D267" s="1">
        <v>62.7</v>
      </c>
      <c r="E267" s="1">
        <v>6</v>
      </c>
      <c r="F267" s="1">
        <v>7</v>
      </c>
      <c r="G267" s="1">
        <v>7</v>
      </c>
      <c r="H267" s="1">
        <v>6.7</v>
      </c>
      <c r="I267" s="1">
        <v>7.0000000000000007E-2</v>
      </c>
      <c r="J267" s="1">
        <v>34</v>
      </c>
    </row>
    <row r="268" spans="1:10" x14ac:dyDescent="0.2">
      <c r="A268" s="1" t="s">
        <v>259</v>
      </c>
      <c r="B268" s="1">
        <v>0.75</v>
      </c>
      <c r="C268" s="1" t="s">
        <v>412</v>
      </c>
      <c r="D268" s="1">
        <v>62.7</v>
      </c>
      <c r="E268" s="1">
        <v>6</v>
      </c>
      <c r="F268" s="1">
        <v>7</v>
      </c>
      <c r="G268" s="1">
        <v>7</v>
      </c>
      <c r="H268" s="1">
        <v>6.7</v>
      </c>
      <c r="I268" s="1">
        <v>7.0000000000000007E-2</v>
      </c>
      <c r="J268" s="1">
        <v>34</v>
      </c>
    </row>
    <row r="269" spans="1:10" x14ac:dyDescent="0.2">
      <c r="A269" s="1" t="s">
        <v>259</v>
      </c>
      <c r="B269" s="1">
        <v>1.1200000000000001</v>
      </c>
      <c r="C269" s="1" t="s">
        <v>413</v>
      </c>
      <c r="D269" s="1">
        <v>94</v>
      </c>
      <c r="E269" s="1">
        <v>9</v>
      </c>
      <c r="F269" s="1">
        <v>10</v>
      </c>
      <c r="G269" s="1">
        <v>11</v>
      </c>
      <c r="H269" s="1">
        <v>10</v>
      </c>
      <c r="I269" s="1">
        <v>0.1</v>
      </c>
      <c r="J269" s="1">
        <v>35</v>
      </c>
    </row>
    <row r="270" spans="1:10" x14ac:dyDescent="0.2">
      <c r="A270" s="1" t="s">
        <v>259</v>
      </c>
      <c r="B270" s="1">
        <v>1.1200000000000001</v>
      </c>
      <c r="C270" s="1" t="s">
        <v>414</v>
      </c>
      <c r="D270" s="1">
        <v>94</v>
      </c>
      <c r="E270" s="1">
        <v>9</v>
      </c>
      <c r="F270" s="1">
        <v>10</v>
      </c>
      <c r="G270" s="1">
        <v>11</v>
      </c>
      <c r="H270" s="1">
        <v>10</v>
      </c>
      <c r="I270" s="1">
        <v>0.1</v>
      </c>
      <c r="J270" s="1">
        <v>35</v>
      </c>
    </row>
    <row r="271" spans="1:10" x14ac:dyDescent="0.2">
      <c r="A271" s="1" t="s">
        <v>259</v>
      </c>
      <c r="B271" s="1">
        <v>1.1200000000000001</v>
      </c>
      <c r="C271" s="1" t="s">
        <v>415</v>
      </c>
      <c r="D271" s="1">
        <v>94</v>
      </c>
      <c r="E271" s="1">
        <v>9</v>
      </c>
      <c r="F271" s="1">
        <v>10</v>
      </c>
      <c r="G271" s="1">
        <v>11</v>
      </c>
      <c r="H271" s="1">
        <v>10</v>
      </c>
      <c r="I271" s="1">
        <v>0.1</v>
      </c>
      <c r="J271" s="1">
        <v>35</v>
      </c>
    </row>
    <row r="272" spans="1:10" x14ac:dyDescent="0.2">
      <c r="A272" s="1" t="s">
        <v>259</v>
      </c>
      <c r="B272" s="1">
        <v>1.1200000000000001</v>
      </c>
      <c r="C272" s="1" t="s">
        <v>416</v>
      </c>
      <c r="D272" s="1">
        <v>94</v>
      </c>
      <c r="E272" s="1">
        <v>9</v>
      </c>
      <c r="F272" s="1">
        <v>10</v>
      </c>
      <c r="G272" s="1">
        <v>11</v>
      </c>
      <c r="H272" s="1">
        <v>10</v>
      </c>
      <c r="I272" s="1">
        <v>0.1</v>
      </c>
      <c r="J272" s="1">
        <v>35</v>
      </c>
    </row>
    <row r="273" spans="1:10" x14ac:dyDescent="0.2">
      <c r="A273" s="1" t="s">
        <v>259</v>
      </c>
      <c r="B273" s="1">
        <v>1.1200000000000001</v>
      </c>
      <c r="C273" s="1" t="s">
        <v>417</v>
      </c>
      <c r="D273" s="1">
        <v>94</v>
      </c>
      <c r="E273" s="1">
        <v>9</v>
      </c>
      <c r="F273" s="1">
        <v>10</v>
      </c>
      <c r="G273" s="1">
        <v>11</v>
      </c>
      <c r="H273" s="1">
        <v>10</v>
      </c>
      <c r="I273" s="1">
        <v>0.1</v>
      </c>
      <c r="J273" s="1">
        <v>35</v>
      </c>
    </row>
    <row r="274" spans="1:10" x14ac:dyDescent="0.2">
      <c r="A274" s="1" t="s">
        <v>259</v>
      </c>
      <c r="B274" s="1">
        <v>1.1200000000000001</v>
      </c>
      <c r="C274" s="1" t="s">
        <v>418</v>
      </c>
      <c r="D274" s="1">
        <v>94</v>
      </c>
      <c r="E274" s="1">
        <v>9</v>
      </c>
      <c r="F274" s="1">
        <v>10</v>
      </c>
      <c r="G274" s="1">
        <v>11</v>
      </c>
      <c r="H274" s="1">
        <v>10</v>
      </c>
      <c r="I274" s="1">
        <v>0.1</v>
      </c>
      <c r="J274" s="1">
        <v>35</v>
      </c>
    </row>
    <row r="275" spans="1:10" x14ac:dyDescent="0.2">
      <c r="A275" s="1" t="s">
        <v>259</v>
      </c>
      <c r="B275" s="1">
        <v>1.5</v>
      </c>
      <c r="C275" s="1" t="s">
        <v>419</v>
      </c>
      <c r="D275" s="1">
        <v>125.3</v>
      </c>
      <c r="E275" s="1">
        <v>13</v>
      </c>
      <c r="F275" s="1">
        <v>14</v>
      </c>
      <c r="G275" s="1">
        <v>15</v>
      </c>
      <c r="H275" s="1">
        <v>14</v>
      </c>
      <c r="I275" s="1">
        <v>0.14000000000000001</v>
      </c>
      <c r="J275" s="1">
        <v>35</v>
      </c>
    </row>
    <row r="276" spans="1:10" x14ac:dyDescent="0.2">
      <c r="A276" s="1" t="s">
        <v>259</v>
      </c>
      <c r="B276" s="1">
        <v>1.5</v>
      </c>
      <c r="C276" s="1" t="s">
        <v>420</v>
      </c>
      <c r="D276" s="1">
        <v>125.3</v>
      </c>
      <c r="E276" s="1">
        <v>13</v>
      </c>
      <c r="F276" s="1">
        <v>14</v>
      </c>
      <c r="G276" s="1">
        <v>15</v>
      </c>
      <c r="H276" s="1">
        <v>14</v>
      </c>
      <c r="I276" s="1">
        <v>0.14000000000000001</v>
      </c>
      <c r="J276" s="1">
        <v>35</v>
      </c>
    </row>
    <row r="277" spans="1:10" x14ac:dyDescent="0.2">
      <c r="A277" s="1" t="s">
        <v>259</v>
      </c>
      <c r="B277" s="1">
        <v>1.5</v>
      </c>
      <c r="C277" s="1" t="s">
        <v>421</v>
      </c>
      <c r="D277" s="1">
        <v>125.3</v>
      </c>
      <c r="E277" s="1">
        <v>13</v>
      </c>
      <c r="F277" s="1">
        <v>14</v>
      </c>
      <c r="G277" s="1">
        <v>15</v>
      </c>
      <c r="H277" s="1">
        <v>14</v>
      </c>
      <c r="I277" s="1">
        <v>0.14000000000000001</v>
      </c>
      <c r="J277" s="1">
        <v>35</v>
      </c>
    </row>
    <row r="278" spans="1:10" x14ac:dyDescent="0.2">
      <c r="A278" s="1" t="s">
        <v>259</v>
      </c>
      <c r="B278" s="1">
        <v>1.5</v>
      </c>
      <c r="C278" s="1" t="s">
        <v>422</v>
      </c>
      <c r="D278" s="1">
        <v>125.3</v>
      </c>
      <c r="E278" s="1">
        <v>13</v>
      </c>
      <c r="F278" s="1">
        <v>14</v>
      </c>
      <c r="G278" s="1">
        <v>15</v>
      </c>
      <c r="H278" s="1">
        <v>14</v>
      </c>
      <c r="I278" s="1">
        <v>0.14000000000000001</v>
      </c>
      <c r="J278" s="1">
        <v>35</v>
      </c>
    </row>
    <row r="279" spans="1:10" x14ac:dyDescent="0.2">
      <c r="A279" s="1" t="s">
        <v>259</v>
      </c>
      <c r="B279" s="1">
        <v>1.5</v>
      </c>
      <c r="C279" s="1" t="s">
        <v>423</v>
      </c>
      <c r="D279" s="1">
        <v>125.3</v>
      </c>
      <c r="E279" s="1">
        <v>13</v>
      </c>
      <c r="F279" s="1">
        <v>14</v>
      </c>
      <c r="G279" s="1">
        <v>15</v>
      </c>
      <c r="H279" s="1">
        <v>14</v>
      </c>
      <c r="I279" s="1">
        <v>0.14000000000000001</v>
      </c>
      <c r="J279" s="1">
        <v>35</v>
      </c>
    </row>
    <row r="280" spans="1:10" x14ac:dyDescent="0.2">
      <c r="A280" s="1" t="s">
        <v>259</v>
      </c>
      <c r="B280" s="1">
        <v>1.5</v>
      </c>
      <c r="C280" s="1" t="s">
        <v>424</v>
      </c>
      <c r="D280" s="1">
        <v>125.3</v>
      </c>
      <c r="E280" s="1">
        <v>13</v>
      </c>
      <c r="F280" s="1">
        <v>14</v>
      </c>
      <c r="G280" s="1">
        <v>15</v>
      </c>
      <c r="H280" s="1">
        <v>14</v>
      </c>
      <c r="I280" s="1">
        <v>0.14000000000000001</v>
      </c>
      <c r="J280" s="1">
        <v>35</v>
      </c>
    </row>
    <row r="281" spans="1:10" x14ac:dyDescent="0.2">
      <c r="A281" s="1" t="s">
        <v>259</v>
      </c>
      <c r="B281" s="1">
        <v>1.87</v>
      </c>
      <c r="C281" s="1" t="s">
        <v>425</v>
      </c>
      <c r="D281" s="1">
        <v>156.69999999999999</v>
      </c>
      <c r="E281" s="1">
        <v>15</v>
      </c>
      <c r="F281" s="1">
        <v>16</v>
      </c>
      <c r="G281" s="1">
        <v>17</v>
      </c>
      <c r="H281" s="1">
        <v>16</v>
      </c>
      <c r="I281" s="1">
        <v>0.16</v>
      </c>
      <c r="J281" s="1">
        <v>35</v>
      </c>
    </row>
    <row r="282" spans="1:10" x14ac:dyDescent="0.2">
      <c r="A282" s="1" t="s">
        <v>259</v>
      </c>
      <c r="B282" s="1">
        <v>1.87</v>
      </c>
      <c r="C282" s="1" t="s">
        <v>426</v>
      </c>
      <c r="D282" s="1">
        <v>156.69999999999999</v>
      </c>
      <c r="E282" s="1">
        <v>15</v>
      </c>
      <c r="F282" s="1">
        <v>16</v>
      </c>
      <c r="G282" s="1">
        <v>17</v>
      </c>
      <c r="H282" s="1">
        <v>16</v>
      </c>
      <c r="I282" s="1">
        <v>0.16</v>
      </c>
      <c r="J282" s="1">
        <v>35</v>
      </c>
    </row>
    <row r="283" spans="1:10" x14ac:dyDescent="0.2">
      <c r="A283" s="1" t="s">
        <v>259</v>
      </c>
      <c r="B283" s="1">
        <v>1.87</v>
      </c>
      <c r="C283" s="1" t="s">
        <v>427</v>
      </c>
      <c r="D283" s="1">
        <v>156.69999999999999</v>
      </c>
      <c r="E283" s="1">
        <v>15</v>
      </c>
      <c r="F283" s="1">
        <v>16</v>
      </c>
      <c r="G283" s="1">
        <v>17</v>
      </c>
      <c r="H283" s="1">
        <v>16</v>
      </c>
      <c r="I283" s="1">
        <v>0.16</v>
      </c>
      <c r="J283" s="1">
        <v>35</v>
      </c>
    </row>
    <row r="284" spans="1:10" x14ac:dyDescent="0.2">
      <c r="A284" s="1" t="s">
        <v>259</v>
      </c>
      <c r="B284" s="1">
        <v>1.87</v>
      </c>
      <c r="C284" s="1" t="s">
        <v>428</v>
      </c>
      <c r="D284" s="1">
        <v>156.69999999999999</v>
      </c>
      <c r="E284" s="1">
        <v>15</v>
      </c>
      <c r="F284" s="1">
        <v>16</v>
      </c>
      <c r="G284" s="1">
        <v>17</v>
      </c>
      <c r="H284" s="1">
        <v>16</v>
      </c>
      <c r="I284" s="1">
        <v>0.16</v>
      </c>
      <c r="J284" s="1">
        <v>35</v>
      </c>
    </row>
    <row r="285" spans="1:10" x14ac:dyDescent="0.2">
      <c r="A285" s="1" t="s">
        <v>259</v>
      </c>
      <c r="B285" s="1">
        <v>1.87</v>
      </c>
      <c r="C285" s="1" t="s">
        <v>429</v>
      </c>
      <c r="D285" s="1">
        <v>156.69999999999999</v>
      </c>
      <c r="E285" s="1">
        <v>15</v>
      </c>
      <c r="F285" s="1">
        <v>16</v>
      </c>
      <c r="G285" s="1">
        <v>17</v>
      </c>
      <c r="H285" s="1">
        <v>16</v>
      </c>
      <c r="I285" s="1">
        <v>0.16</v>
      </c>
      <c r="J285" s="1">
        <v>35</v>
      </c>
    </row>
    <row r="286" spans="1:10" x14ac:dyDescent="0.2">
      <c r="A286" s="1" t="s">
        <v>259</v>
      </c>
      <c r="B286" s="1">
        <v>2.25</v>
      </c>
      <c r="C286" s="1" t="s">
        <v>430</v>
      </c>
      <c r="D286" s="1">
        <v>188</v>
      </c>
      <c r="E286" s="1">
        <v>19</v>
      </c>
      <c r="F286" s="1">
        <v>20</v>
      </c>
      <c r="G286" s="1">
        <v>21</v>
      </c>
      <c r="H286" s="1">
        <v>20</v>
      </c>
      <c r="I286" s="1">
        <v>0.2</v>
      </c>
      <c r="J286" s="1">
        <v>35</v>
      </c>
    </row>
    <row r="287" spans="1:10" x14ac:dyDescent="0.2">
      <c r="A287" s="1" t="s">
        <v>259</v>
      </c>
      <c r="B287" s="1">
        <v>2.25</v>
      </c>
      <c r="C287" s="1" t="s">
        <v>431</v>
      </c>
      <c r="D287" s="1">
        <v>188</v>
      </c>
      <c r="E287" s="1">
        <v>19</v>
      </c>
      <c r="F287" s="1">
        <v>20</v>
      </c>
      <c r="G287" s="1">
        <v>21</v>
      </c>
      <c r="H287" s="1">
        <v>20</v>
      </c>
      <c r="I287" s="1">
        <v>0.2</v>
      </c>
      <c r="J287" s="1">
        <v>35</v>
      </c>
    </row>
    <row r="288" spans="1:10" x14ac:dyDescent="0.2">
      <c r="A288" s="1" t="s">
        <v>259</v>
      </c>
      <c r="B288" s="1">
        <v>2.25</v>
      </c>
      <c r="C288" s="1" t="s">
        <v>432</v>
      </c>
      <c r="D288" s="1">
        <v>188</v>
      </c>
      <c r="E288" s="1">
        <v>21</v>
      </c>
      <c r="F288" s="1">
        <v>22</v>
      </c>
      <c r="G288" s="1">
        <v>23</v>
      </c>
      <c r="H288" s="1">
        <v>22</v>
      </c>
      <c r="I288" s="1">
        <v>0.22</v>
      </c>
      <c r="J288" s="1">
        <v>35</v>
      </c>
    </row>
    <row r="289" spans="1:10" x14ac:dyDescent="0.2">
      <c r="A289" s="1" t="s">
        <v>259</v>
      </c>
      <c r="B289" s="1">
        <v>2.25</v>
      </c>
      <c r="C289" s="1" t="s">
        <v>433</v>
      </c>
      <c r="D289" s="1">
        <v>188</v>
      </c>
      <c r="E289" s="1">
        <v>24</v>
      </c>
      <c r="F289" s="1">
        <v>25</v>
      </c>
      <c r="G289" s="1">
        <v>26</v>
      </c>
      <c r="H289" s="1">
        <v>25</v>
      </c>
      <c r="I289" s="1">
        <v>0.25</v>
      </c>
      <c r="J289" s="1">
        <v>35</v>
      </c>
    </row>
    <row r="290" spans="1:10" x14ac:dyDescent="0.2">
      <c r="A290" s="1" t="s">
        <v>259</v>
      </c>
      <c r="B290" s="1">
        <v>2.25</v>
      </c>
      <c r="C290" s="1" t="s">
        <v>434</v>
      </c>
      <c r="D290" s="1">
        <v>188</v>
      </c>
      <c r="E290" s="1">
        <v>24</v>
      </c>
      <c r="F290" s="1">
        <v>25</v>
      </c>
      <c r="G290" s="1">
        <v>26</v>
      </c>
      <c r="H290" s="1">
        <v>25</v>
      </c>
      <c r="I290" s="1">
        <v>0.25</v>
      </c>
      <c r="J290" s="1">
        <v>35</v>
      </c>
    </row>
    <row r="291" spans="1:10" x14ac:dyDescent="0.2">
      <c r="A291" s="1" t="s">
        <v>259</v>
      </c>
      <c r="B291" s="1">
        <v>2.25</v>
      </c>
      <c r="C291" s="1" t="s">
        <v>435</v>
      </c>
      <c r="D291" s="1">
        <v>188</v>
      </c>
      <c r="E291" s="1">
        <v>24</v>
      </c>
      <c r="F291" s="1">
        <v>25</v>
      </c>
      <c r="G291" s="1">
        <v>26</v>
      </c>
      <c r="H291" s="1">
        <v>25</v>
      </c>
      <c r="I291" s="1">
        <v>0.25</v>
      </c>
      <c r="J291" s="1">
        <v>35</v>
      </c>
    </row>
    <row r="292" spans="1:10" x14ac:dyDescent="0.2">
      <c r="A292" s="6" t="s">
        <v>301</v>
      </c>
      <c r="B292" s="6">
        <v>1.5</v>
      </c>
      <c r="C292" s="6" t="s">
        <v>436</v>
      </c>
      <c r="D292" s="6">
        <v>125.3</v>
      </c>
      <c r="E292" s="6">
        <v>23</v>
      </c>
      <c r="F292" s="6">
        <v>24</v>
      </c>
      <c r="G292" s="6">
        <v>25</v>
      </c>
      <c r="H292" s="6">
        <v>24</v>
      </c>
      <c r="I292" s="6">
        <v>0.24</v>
      </c>
      <c r="J292" s="6">
        <v>35</v>
      </c>
    </row>
    <row r="293" spans="1:10" x14ac:dyDescent="0.2">
      <c r="A293" s="6" t="s">
        <v>301</v>
      </c>
      <c r="B293" s="6">
        <v>1.5</v>
      </c>
      <c r="C293" s="6" t="s">
        <v>437</v>
      </c>
      <c r="D293" s="6">
        <v>125.3</v>
      </c>
      <c r="E293" s="6">
        <v>23</v>
      </c>
      <c r="F293" s="6">
        <v>24</v>
      </c>
      <c r="G293" s="6">
        <v>25</v>
      </c>
      <c r="H293" s="6">
        <v>24</v>
      </c>
      <c r="I293" s="6">
        <v>0.24</v>
      </c>
      <c r="J293" s="6">
        <v>35</v>
      </c>
    </row>
    <row r="294" spans="1:10" x14ac:dyDescent="0.2">
      <c r="A294" s="6" t="s">
        <v>301</v>
      </c>
      <c r="B294" s="6">
        <v>1.5</v>
      </c>
      <c r="C294" s="6" t="s">
        <v>438</v>
      </c>
      <c r="D294" s="6">
        <v>125.3</v>
      </c>
      <c r="E294" s="6">
        <v>23</v>
      </c>
      <c r="F294" s="6">
        <v>24</v>
      </c>
      <c r="G294" s="6">
        <v>25</v>
      </c>
      <c r="H294" s="6">
        <v>24</v>
      </c>
      <c r="I294" s="6">
        <v>0.24</v>
      </c>
      <c r="J294" s="6">
        <v>35</v>
      </c>
    </row>
    <row r="295" spans="1:10" x14ac:dyDescent="0.2">
      <c r="A295" s="6" t="s">
        <v>301</v>
      </c>
      <c r="B295" s="6">
        <v>1.5</v>
      </c>
      <c r="C295" s="6" t="s">
        <v>439</v>
      </c>
      <c r="D295" s="6">
        <v>125.3</v>
      </c>
      <c r="E295" s="6">
        <v>23</v>
      </c>
      <c r="F295" s="6">
        <v>24</v>
      </c>
      <c r="G295" s="6">
        <v>25</v>
      </c>
      <c r="H295" s="6">
        <v>24</v>
      </c>
      <c r="I295" s="6">
        <v>0.24</v>
      </c>
      <c r="J295" s="6">
        <v>35</v>
      </c>
    </row>
    <row r="296" spans="1:10" x14ac:dyDescent="0.2">
      <c r="A296" s="6" t="s">
        <v>301</v>
      </c>
      <c r="B296" s="6">
        <v>1.5</v>
      </c>
      <c r="C296" s="6" t="s">
        <v>440</v>
      </c>
      <c r="D296" s="6">
        <v>125.3</v>
      </c>
      <c r="E296" s="6">
        <v>23</v>
      </c>
      <c r="F296" s="6">
        <v>24</v>
      </c>
      <c r="G296" s="6">
        <v>25</v>
      </c>
      <c r="H296" s="6">
        <v>24</v>
      </c>
      <c r="I296" s="6">
        <v>0.24</v>
      </c>
      <c r="J296" s="6">
        <v>35</v>
      </c>
    </row>
    <row r="297" spans="1:10" x14ac:dyDescent="0.2">
      <c r="A297" s="6" t="s">
        <v>301</v>
      </c>
      <c r="B297" s="6">
        <v>0.75</v>
      </c>
      <c r="C297" s="6" t="s">
        <v>441</v>
      </c>
      <c r="D297" s="6">
        <v>62.7</v>
      </c>
      <c r="E297" s="6">
        <v>20</v>
      </c>
      <c r="F297" s="6">
        <v>21</v>
      </c>
      <c r="G297" s="6">
        <v>21</v>
      </c>
      <c r="H297" s="6">
        <v>20.7</v>
      </c>
      <c r="I297" s="6">
        <v>0.21</v>
      </c>
      <c r="J297" s="6">
        <v>35</v>
      </c>
    </row>
    <row r="298" spans="1:10" x14ac:dyDescent="0.2">
      <c r="A298" s="6" t="s">
        <v>301</v>
      </c>
      <c r="B298" s="6">
        <v>0.75</v>
      </c>
      <c r="C298" s="6" t="s">
        <v>442</v>
      </c>
      <c r="D298" s="6">
        <v>62.7</v>
      </c>
      <c r="E298" s="6">
        <v>19</v>
      </c>
      <c r="F298" s="6">
        <v>20</v>
      </c>
      <c r="G298" s="6">
        <v>20</v>
      </c>
      <c r="H298" s="6">
        <v>19.7</v>
      </c>
      <c r="I298" s="6">
        <v>0.2</v>
      </c>
      <c r="J298" s="6">
        <v>35</v>
      </c>
    </row>
    <row r="299" spans="1:10" x14ac:dyDescent="0.2">
      <c r="A299" s="6" t="s">
        <v>301</v>
      </c>
      <c r="B299" s="6">
        <v>0.75</v>
      </c>
      <c r="C299" s="6" t="s">
        <v>443</v>
      </c>
      <c r="D299" s="6">
        <v>62.7</v>
      </c>
      <c r="E299" s="6">
        <v>19</v>
      </c>
      <c r="F299" s="6">
        <v>20</v>
      </c>
      <c r="G299" s="6">
        <v>20</v>
      </c>
      <c r="H299" s="6">
        <v>19.7</v>
      </c>
      <c r="I299" s="6">
        <v>0.2</v>
      </c>
      <c r="J299" s="6">
        <v>35</v>
      </c>
    </row>
    <row r="300" spans="1:10" x14ac:dyDescent="0.2">
      <c r="A300" s="6" t="s">
        <v>301</v>
      </c>
      <c r="B300" s="6">
        <v>0.75</v>
      </c>
      <c r="C300" s="6" t="s">
        <v>444</v>
      </c>
      <c r="D300" s="6">
        <v>62.7</v>
      </c>
      <c r="E300" s="6">
        <v>19</v>
      </c>
      <c r="F300" s="6">
        <v>20</v>
      </c>
      <c r="G300" s="6">
        <v>20</v>
      </c>
      <c r="H300" s="6">
        <v>19.7</v>
      </c>
      <c r="I300" s="6">
        <v>0.2</v>
      </c>
      <c r="J300" s="6">
        <v>35</v>
      </c>
    </row>
    <row r="301" spans="1:10" x14ac:dyDescent="0.2">
      <c r="A301" s="6" t="s">
        <v>301</v>
      </c>
      <c r="B301" s="6">
        <v>0.75</v>
      </c>
      <c r="C301" s="6" t="s">
        <v>445</v>
      </c>
      <c r="D301" s="6">
        <v>62.7</v>
      </c>
      <c r="E301" s="6">
        <v>19</v>
      </c>
      <c r="F301" s="6">
        <v>20</v>
      </c>
      <c r="G301" s="6">
        <v>20</v>
      </c>
      <c r="H301" s="6">
        <v>19.7</v>
      </c>
      <c r="I301" s="6">
        <v>0.2</v>
      </c>
      <c r="J301" s="6">
        <v>35</v>
      </c>
    </row>
    <row r="302" spans="1:10" x14ac:dyDescent="0.2">
      <c r="A302" s="6" t="s">
        <v>301</v>
      </c>
      <c r="B302" s="6">
        <v>0.75</v>
      </c>
      <c r="C302" s="6" t="s">
        <v>446</v>
      </c>
      <c r="D302" s="6">
        <v>62.7</v>
      </c>
      <c r="E302" s="6">
        <v>19</v>
      </c>
      <c r="F302" s="6">
        <v>20</v>
      </c>
      <c r="G302" s="6">
        <v>20</v>
      </c>
      <c r="H302" s="6">
        <v>19.7</v>
      </c>
      <c r="I302" s="6">
        <v>0.2</v>
      </c>
      <c r="J302" s="6">
        <v>35</v>
      </c>
    </row>
    <row r="303" spans="1:10" x14ac:dyDescent="0.2">
      <c r="A303" s="6" t="s">
        <v>301</v>
      </c>
      <c r="B303" s="6">
        <v>0</v>
      </c>
      <c r="C303" s="6" t="s">
        <v>447</v>
      </c>
      <c r="D303" s="6">
        <v>0</v>
      </c>
      <c r="E303" s="6">
        <v>11</v>
      </c>
      <c r="F303" s="6">
        <v>12</v>
      </c>
      <c r="G303" s="6">
        <v>13</v>
      </c>
      <c r="H303" s="6">
        <v>12</v>
      </c>
      <c r="I303" s="6">
        <v>0.12</v>
      </c>
      <c r="J303" s="6">
        <v>35</v>
      </c>
    </row>
    <row r="304" spans="1:10" x14ac:dyDescent="0.2">
      <c r="A304" s="6" t="s">
        <v>301</v>
      </c>
      <c r="B304" s="6">
        <v>0</v>
      </c>
      <c r="C304" s="6" t="s">
        <v>448</v>
      </c>
      <c r="D304" s="6">
        <v>0</v>
      </c>
      <c r="E304" s="6">
        <v>10</v>
      </c>
      <c r="F304" s="6">
        <v>11</v>
      </c>
      <c r="G304" s="6">
        <v>12</v>
      </c>
      <c r="H304" s="6">
        <v>11</v>
      </c>
      <c r="I304" s="6">
        <v>0.11</v>
      </c>
      <c r="J304" s="6">
        <v>35</v>
      </c>
    </row>
    <row r="305" spans="1:10" x14ac:dyDescent="0.2">
      <c r="A305" s="6" t="s">
        <v>301</v>
      </c>
      <c r="B305" s="6">
        <v>0</v>
      </c>
      <c r="C305" s="6" t="s">
        <v>449</v>
      </c>
      <c r="D305" s="6">
        <v>0</v>
      </c>
      <c r="E305" s="6">
        <v>10</v>
      </c>
      <c r="F305" s="6">
        <v>11</v>
      </c>
      <c r="G305" s="6">
        <v>12</v>
      </c>
      <c r="H305" s="6">
        <v>11</v>
      </c>
      <c r="I305" s="6">
        <v>0.11</v>
      </c>
      <c r="J305" s="6">
        <v>35</v>
      </c>
    </row>
    <row r="306" spans="1:10" x14ac:dyDescent="0.2">
      <c r="A306" s="6" t="s">
        <v>301</v>
      </c>
      <c r="B306" s="6">
        <v>0</v>
      </c>
      <c r="C306" s="6" t="s">
        <v>450</v>
      </c>
      <c r="D306" s="6">
        <v>0</v>
      </c>
      <c r="E306" s="6">
        <v>10</v>
      </c>
      <c r="F306" s="6">
        <v>11</v>
      </c>
      <c r="G306" s="6">
        <v>12</v>
      </c>
      <c r="H306" s="6">
        <v>11</v>
      </c>
      <c r="I306" s="6">
        <v>0.11</v>
      </c>
      <c r="J306" s="6">
        <v>35</v>
      </c>
    </row>
    <row r="308" spans="1:10" x14ac:dyDescent="0.2">
      <c r="A308" s="17" t="s">
        <v>451</v>
      </c>
      <c r="B308" s="17"/>
      <c r="C308" s="17"/>
      <c r="D308" s="17"/>
      <c r="E308" s="17"/>
      <c r="F308" s="17"/>
      <c r="G308" s="17"/>
      <c r="H308" s="17"/>
      <c r="I308" s="17"/>
      <c r="J308" s="17"/>
    </row>
    <row r="309" spans="1:10" ht="30" x14ac:dyDescent="0.2">
      <c r="A309" s="3" t="s">
        <v>318</v>
      </c>
      <c r="B309" s="3" t="s">
        <v>399</v>
      </c>
      <c r="C309" s="17" t="s">
        <v>257</v>
      </c>
      <c r="D309" s="17"/>
      <c r="E309" s="17"/>
      <c r="F309" s="17"/>
      <c r="G309" s="17"/>
      <c r="H309" s="17"/>
      <c r="I309" s="17"/>
      <c r="J309" s="17"/>
    </row>
    <row r="310" spans="1:10" ht="42" x14ac:dyDescent="0.2">
      <c r="A310" s="7" t="s">
        <v>452</v>
      </c>
      <c r="B310" s="1">
        <v>0.38</v>
      </c>
      <c r="C310" s="24">
        <v>0.05</v>
      </c>
      <c r="D310" s="24"/>
      <c r="E310" s="24"/>
      <c r="F310" s="24"/>
      <c r="G310" s="24"/>
      <c r="H310" s="24"/>
      <c r="I310" s="24"/>
      <c r="J310" s="24"/>
    </row>
    <row r="311" spans="1:10" ht="42" x14ac:dyDescent="0.2">
      <c r="A311" s="7" t="s">
        <v>453</v>
      </c>
      <c r="B311" s="1">
        <v>0.75</v>
      </c>
      <c r="C311" s="24">
        <v>7.0000000000000007E-2</v>
      </c>
      <c r="D311" s="24"/>
      <c r="E311" s="24"/>
      <c r="F311" s="24"/>
      <c r="G311" s="24"/>
      <c r="H311" s="24"/>
      <c r="I311" s="24"/>
      <c r="J311" s="24"/>
    </row>
    <row r="312" spans="1:10" ht="42" x14ac:dyDescent="0.2">
      <c r="A312" s="7" t="s">
        <v>454</v>
      </c>
      <c r="B312" s="1">
        <v>1.1200000000000001</v>
      </c>
      <c r="C312" s="24">
        <v>0.1</v>
      </c>
      <c r="D312" s="24"/>
      <c r="E312" s="24"/>
      <c r="F312" s="24"/>
      <c r="G312" s="24"/>
      <c r="H312" s="24"/>
      <c r="I312" s="24"/>
      <c r="J312" s="24"/>
    </row>
    <row r="313" spans="1:10" ht="56" x14ac:dyDescent="0.2">
      <c r="A313" s="7" t="s">
        <v>455</v>
      </c>
      <c r="B313" s="1">
        <v>1.5</v>
      </c>
      <c r="C313" s="24">
        <v>0.14000000000000001</v>
      </c>
      <c r="D313" s="24"/>
      <c r="E313" s="24"/>
      <c r="F313" s="24"/>
      <c r="G313" s="24"/>
      <c r="H313" s="24"/>
      <c r="I313" s="24"/>
      <c r="J313" s="24"/>
    </row>
    <row r="314" spans="1:10" ht="42" x14ac:dyDescent="0.2">
      <c r="A314" s="7" t="s">
        <v>456</v>
      </c>
      <c r="B314" s="1">
        <v>1.87</v>
      </c>
      <c r="C314" s="24">
        <v>0.16</v>
      </c>
      <c r="D314" s="24"/>
      <c r="E314" s="24"/>
      <c r="F314" s="24"/>
      <c r="G314" s="24"/>
      <c r="H314" s="24"/>
      <c r="I314" s="24"/>
      <c r="J314" s="24"/>
    </row>
    <row r="315" spans="1:10" ht="56" x14ac:dyDescent="0.2">
      <c r="A315" s="7" t="s">
        <v>457</v>
      </c>
      <c r="B315" s="1">
        <v>2.25</v>
      </c>
      <c r="C315" s="24">
        <v>0.25</v>
      </c>
      <c r="D315" s="24"/>
      <c r="E315" s="24"/>
      <c r="F315" s="24"/>
      <c r="G315" s="24"/>
      <c r="H315" s="24"/>
      <c r="I315" s="24"/>
      <c r="J315" s="24"/>
    </row>
    <row r="316" spans="1:10" ht="28" x14ac:dyDescent="0.2">
      <c r="A316" s="7" t="s">
        <v>458</v>
      </c>
      <c r="B316" s="1">
        <v>1.5</v>
      </c>
      <c r="C316" s="24">
        <v>0.24</v>
      </c>
      <c r="D316" s="24"/>
      <c r="E316" s="24"/>
      <c r="F316" s="24"/>
      <c r="G316" s="24"/>
      <c r="H316" s="24"/>
      <c r="I316" s="24"/>
      <c r="J316" s="24"/>
    </row>
    <row r="317" spans="1:10" ht="28" x14ac:dyDescent="0.2">
      <c r="A317" s="7" t="s">
        <v>459</v>
      </c>
      <c r="B317" s="1">
        <v>0.75</v>
      </c>
      <c r="C317" s="24">
        <v>0.2</v>
      </c>
      <c r="D317" s="24"/>
      <c r="E317" s="24"/>
      <c r="F317" s="24"/>
      <c r="G317" s="24"/>
      <c r="H317" s="24"/>
      <c r="I317" s="24"/>
      <c r="J317" s="24"/>
    </row>
    <row r="318" spans="1:10" ht="28" x14ac:dyDescent="0.2">
      <c r="A318" s="7" t="s">
        <v>460</v>
      </c>
      <c r="B318" s="1">
        <v>0</v>
      </c>
      <c r="C318" s="24">
        <v>0.11</v>
      </c>
      <c r="D318" s="24"/>
      <c r="E318" s="24"/>
      <c r="F318" s="24"/>
      <c r="G318" s="24"/>
      <c r="H318" s="24"/>
      <c r="I318" s="24"/>
      <c r="J318" s="24"/>
    </row>
  </sheetData>
  <mergeCells count="143">
    <mergeCell ref="A191:B191"/>
    <mergeCell ref="C191:J191"/>
    <mergeCell ref="A192:B192"/>
    <mergeCell ref="A233:J233"/>
    <mergeCell ref="C234:J234"/>
    <mergeCell ref="A186:B186"/>
    <mergeCell ref="C186:J186"/>
    <mergeCell ref="A187:B187"/>
    <mergeCell ref="C187:J187"/>
    <mergeCell ref="A188:B188"/>
    <mergeCell ref="C188:J188"/>
    <mergeCell ref="A189:B189"/>
    <mergeCell ref="C189:J189"/>
    <mergeCell ref="A190:B190"/>
    <mergeCell ref="C190:J190"/>
    <mergeCell ref="C311:J311"/>
    <mergeCell ref="C312:J312"/>
    <mergeCell ref="C313:J313"/>
    <mergeCell ref="C314:J314"/>
    <mergeCell ref="C315:J315"/>
    <mergeCell ref="C316:J316"/>
    <mergeCell ref="C317:J317"/>
    <mergeCell ref="C318:J318"/>
    <mergeCell ref="A251:B251"/>
    <mergeCell ref="C251:J251"/>
    <mergeCell ref="A252:B252"/>
    <mergeCell ref="C252:J252"/>
    <mergeCell ref="A253:B253"/>
    <mergeCell ref="C253:J253"/>
    <mergeCell ref="A308:J308"/>
    <mergeCell ref="C309:J309"/>
    <mergeCell ref="C310:J310"/>
    <mergeCell ref="A246:B246"/>
    <mergeCell ref="C246:J246"/>
    <mergeCell ref="A247:B247"/>
    <mergeCell ref="C247:J247"/>
    <mergeCell ref="A248:B248"/>
    <mergeCell ref="C248:J248"/>
    <mergeCell ref="A249:B249"/>
    <mergeCell ref="C249:J249"/>
    <mergeCell ref="A250:B250"/>
    <mergeCell ref="C250:J250"/>
    <mergeCell ref="C177:J177"/>
    <mergeCell ref="C178:J178"/>
    <mergeCell ref="C179:J179"/>
    <mergeCell ref="C180:J180"/>
    <mergeCell ref="C181:J181"/>
    <mergeCell ref="A243:J243"/>
    <mergeCell ref="A244:B244"/>
    <mergeCell ref="C244:J244"/>
    <mergeCell ref="A245:B245"/>
    <mergeCell ref="C245:J245"/>
    <mergeCell ref="C192:J192"/>
    <mergeCell ref="A193:B193"/>
    <mergeCell ref="C193:J193"/>
    <mergeCell ref="A194:B194"/>
    <mergeCell ref="C194:J194"/>
    <mergeCell ref="C235:J235"/>
    <mergeCell ref="C236:J236"/>
    <mergeCell ref="C237:J237"/>
    <mergeCell ref="C238:J238"/>
    <mergeCell ref="C239:J239"/>
    <mergeCell ref="C240:J240"/>
    <mergeCell ref="A184:J184"/>
    <mergeCell ref="A185:B185"/>
    <mergeCell ref="C185:J185"/>
    <mergeCell ref="A110:B110"/>
    <mergeCell ref="C110:J110"/>
    <mergeCell ref="A170:J170"/>
    <mergeCell ref="C171:J171"/>
    <mergeCell ref="C172:J172"/>
    <mergeCell ref="C173:J173"/>
    <mergeCell ref="C174:J174"/>
    <mergeCell ref="C175:J175"/>
    <mergeCell ref="C176:J176"/>
    <mergeCell ref="A105:B105"/>
    <mergeCell ref="C105:J105"/>
    <mergeCell ref="A106:B106"/>
    <mergeCell ref="C106:J106"/>
    <mergeCell ref="A107:B107"/>
    <mergeCell ref="C107:J107"/>
    <mergeCell ref="A108:B108"/>
    <mergeCell ref="C108:J108"/>
    <mergeCell ref="A109:B109"/>
    <mergeCell ref="C109:J109"/>
    <mergeCell ref="A100:B100"/>
    <mergeCell ref="C100:J100"/>
    <mergeCell ref="A101:B101"/>
    <mergeCell ref="C101:J101"/>
    <mergeCell ref="A102:B102"/>
    <mergeCell ref="C102:J102"/>
    <mergeCell ref="A103:B103"/>
    <mergeCell ref="C103:J103"/>
    <mergeCell ref="A104:B104"/>
    <mergeCell ref="C104:J104"/>
    <mergeCell ref="C89:J89"/>
    <mergeCell ref="C90:J90"/>
    <mergeCell ref="C91:J91"/>
    <mergeCell ref="C92:J92"/>
    <mergeCell ref="C93:J93"/>
    <mergeCell ref="C94:J94"/>
    <mergeCell ref="C95:J95"/>
    <mergeCell ref="A98:J98"/>
    <mergeCell ref="A99:B99"/>
    <mergeCell ref="C99:J99"/>
    <mergeCell ref="A23:B23"/>
    <mergeCell ref="C23:H23"/>
    <mergeCell ref="A24:B24"/>
    <mergeCell ref="C24:H24"/>
    <mergeCell ref="A84:J84"/>
    <mergeCell ref="C85:J85"/>
    <mergeCell ref="C86:J86"/>
    <mergeCell ref="C87:J87"/>
    <mergeCell ref="C88:J88"/>
    <mergeCell ref="A18:B18"/>
    <mergeCell ref="C18:H18"/>
    <mergeCell ref="A19:B19"/>
    <mergeCell ref="C19:H19"/>
    <mergeCell ref="A20:B20"/>
    <mergeCell ref="C20:H20"/>
    <mergeCell ref="A21:B21"/>
    <mergeCell ref="C21:H21"/>
    <mergeCell ref="A22:B22"/>
    <mergeCell ref="C22:H22"/>
    <mergeCell ref="A13:B13"/>
    <mergeCell ref="C13:H13"/>
    <mergeCell ref="A14:B14"/>
    <mergeCell ref="C14:H14"/>
    <mergeCell ref="A15:B15"/>
    <mergeCell ref="C15:H15"/>
    <mergeCell ref="A16:B16"/>
    <mergeCell ref="C16:H16"/>
    <mergeCell ref="A17:B17"/>
    <mergeCell ref="C17:H17"/>
    <mergeCell ref="A1:J1"/>
    <mergeCell ref="A3:H3"/>
    <mergeCell ref="B4:C4"/>
    <mergeCell ref="B5:C5"/>
    <mergeCell ref="B6:C6"/>
    <mergeCell ref="B7:C7"/>
    <mergeCell ref="B8:C8"/>
    <mergeCell ref="A10:H10"/>
    <mergeCell ref="A12:H12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58"/>
  <sheetViews>
    <sheetView showGridLines="0" zoomScale="130" zoomScaleNormal="130" workbookViewId="0">
      <pane ySplit="2" topLeftCell="A61" activePane="bottomLeft" state="frozen"/>
      <selection pane="bottomLeft" sqref="A1:F6"/>
    </sheetView>
  </sheetViews>
  <sheetFormatPr baseColWidth="10" defaultColWidth="8.6640625" defaultRowHeight="15" x14ac:dyDescent="0.2"/>
  <cols>
    <col min="1" max="1" width="20" customWidth="1"/>
    <col min="2" max="2" width="22" customWidth="1"/>
    <col min="3" max="3" width="18" customWidth="1"/>
    <col min="4" max="4" width="24" customWidth="1"/>
    <col min="5" max="5" width="18" customWidth="1"/>
    <col min="6" max="6" width="28" customWidth="1"/>
  </cols>
  <sheetData>
    <row r="1" spans="1:6" ht="27.75" customHeight="1" x14ac:dyDescent="0.2">
      <c r="A1" s="14" t="s">
        <v>461</v>
      </c>
      <c r="B1" s="14"/>
      <c r="C1" s="14"/>
      <c r="D1" s="14"/>
      <c r="E1" s="14"/>
      <c r="F1" s="14"/>
    </row>
    <row r="3" spans="1:6" ht="15" customHeight="1" x14ac:dyDescent="0.2">
      <c r="A3" s="15" t="s">
        <v>462</v>
      </c>
      <c r="B3" s="15"/>
      <c r="C3" s="15"/>
      <c r="D3" s="15"/>
      <c r="E3" s="15"/>
      <c r="F3" s="15"/>
    </row>
    <row r="4" spans="1:6" ht="15" customHeight="1" x14ac:dyDescent="0.2">
      <c r="A4" s="18" t="s">
        <v>211</v>
      </c>
      <c r="B4" s="18"/>
      <c r="C4" s="16" t="s">
        <v>463</v>
      </c>
      <c r="D4" s="16"/>
      <c r="E4" s="16"/>
      <c r="F4" s="16"/>
    </row>
    <row r="5" spans="1:6" ht="15" customHeight="1" x14ac:dyDescent="0.2">
      <c r="A5" s="18" t="s">
        <v>464</v>
      </c>
      <c r="B5" s="18"/>
      <c r="C5" s="16" t="s">
        <v>465</v>
      </c>
      <c r="D5" s="16"/>
      <c r="E5" s="16"/>
      <c r="F5" s="16"/>
    </row>
    <row r="6" spans="1:6" ht="15" customHeight="1" x14ac:dyDescent="0.2">
      <c r="A6" s="18" t="s">
        <v>237</v>
      </c>
      <c r="B6" s="18"/>
      <c r="C6" s="16" t="s">
        <v>466</v>
      </c>
      <c r="D6" s="16"/>
      <c r="E6" s="16"/>
      <c r="F6" s="16"/>
    </row>
    <row r="7" spans="1:6" ht="15" customHeight="1" x14ac:dyDescent="0.2">
      <c r="A7" s="18" t="s">
        <v>227</v>
      </c>
      <c r="B7" s="18"/>
      <c r="C7" s="16" t="s">
        <v>467</v>
      </c>
      <c r="D7" s="16"/>
      <c r="E7" s="16"/>
      <c r="F7" s="16"/>
    </row>
    <row r="8" spans="1:6" ht="15" customHeight="1" x14ac:dyDescent="0.2">
      <c r="A8" s="18" t="s">
        <v>225</v>
      </c>
      <c r="B8" s="18"/>
      <c r="C8" s="16" t="s">
        <v>468</v>
      </c>
      <c r="D8" s="16"/>
      <c r="E8" s="16"/>
      <c r="F8" s="16"/>
    </row>
    <row r="9" spans="1:6" ht="15" customHeight="1" x14ac:dyDescent="0.2">
      <c r="A9" s="18" t="s">
        <v>469</v>
      </c>
      <c r="B9" s="18"/>
      <c r="C9" s="16" t="s">
        <v>470</v>
      </c>
      <c r="D9" s="16"/>
      <c r="E9" s="16"/>
      <c r="F9" s="16"/>
    </row>
    <row r="10" spans="1:6" ht="15" customHeight="1" x14ac:dyDescent="0.2">
      <c r="A10" s="18" t="s">
        <v>471</v>
      </c>
      <c r="B10" s="18"/>
      <c r="C10" s="16" t="s">
        <v>472</v>
      </c>
      <c r="D10" s="16"/>
      <c r="E10" s="16"/>
      <c r="F10" s="16"/>
    </row>
    <row r="11" spans="1:6" ht="15" customHeight="1" x14ac:dyDescent="0.2">
      <c r="A11" s="18" t="s">
        <v>473</v>
      </c>
      <c r="B11" s="18"/>
      <c r="C11" s="16" t="s">
        <v>474</v>
      </c>
      <c r="D11" s="16"/>
      <c r="E11" s="16"/>
      <c r="F11" s="16"/>
    </row>
    <row r="12" spans="1:6" ht="15" customHeight="1" x14ac:dyDescent="0.2">
      <c r="A12" s="18" t="s">
        <v>475</v>
      </c>
      <c r="B12" s="18"/>
      <c r="C12" s="16" t="s">
        <v>476</v>
      </c>
      <c r="D12" s="16"/>
      <c r="E12" s="16"/>
      <c r="F12" s="16"/>
    </row>
    <row r="13" spans="1:6" ht="15" customHeight="1" x14ac:dyDescent="0.2">
      <c r="A13" s="18" t="s">
        <v>477</v>
      </c>
      <c r="B13" s="18"/>
      <c r="C13" s="16" t="s">
        <v>57</v>
      </c>
      <c r="D13" s="16"/>
      <c r="E13" s="16"/>
      <c r="F13" s="16"/>
    </row>
    <row r="14" spans="1:6" ht="15" customHeight="1" x14ac:dyDescent="0.2">
      <c r="A14" s="18" t="s">
        <v>478</v>
      </c>
      <c r="B14" s="18"/>
      <c r="C14" s="16" t="s">
        <v>479</v>
      </c>
      <c r="D14" s="16"/>
      <c r="E14" s="16"/>
      <c r="F14" s="16"/>
    </row>
    <row r="15" spans="1:6" ht="15" customHeight="1" x14ac:dyDescent="0.2">
      <c r="A15" s="18" t="s">
        <v>179</v>
      </c>
      <c r="B15" s="18"/>
      <c r="C15" s="16" t="s">
        <v>480</v>
      </c>
      <c r="D15" s="16"/>
      <c r="E15" s="16"/>
      <c r="F15" s="16"/>
    </row>
    <row r="16" spans="1:6" ht="15" customHeight="1" x14ac:dyDescent="0.2">
      <c r="A16" s="18" t="s">
        <v>481</v>
      </c>
      <c r="B16" s="18"/>
      <c r="C16" s="16" t="s">
        <v>482</v>
      </c>
      <c r="D16" s="16"/>
      <c r="E16" s="16"/>
      <c r="F16" s="16"/>
    </row>
    <row r="17" spans="1:6" ht="15" customHeight="1" x14ac:dyDescent="0.2">
      <c r="A17" s="18" t="s">
        <v>483</v>
      </c>
      <c r="B17" s="18"/>
      <c r="C17" s="16" t="s">
        <v>484</v>
      </c>
      <c r="D17" s="16"/>
      <c r="E17" s="16"/>
      <c r="F17" s="16"/>
    </row>
    <row r="20" spans="1:6" ht="15" customHeight="1" x14ac:dyDescent="0.2">
      <c r="A20" s="15" t="s">
        <v>485</v>
      </c>
      <c r="B20" s="15"/>
      <c r="C20" s="15"/>
      <c r="D20" s="15"/>
      <c r="E20" s="15"/>
      <c r="F20" s="15"/>
    </row>
    <row r="21" spans="1:6" ht="39.75" customHeight="1" x14ac:dyDescent="0.2">
      <c r="A21" s="3" t="s">
        <v>486</v>
      </c>
      <c r="B21" s="3" t="s">
        <v>487</v>
      </c>
      <c r="C21" s="3" t="s">
        <v>488</v>
      </c>
      <c r="D21" s="3" t="s">
        <v>489</v>
      </c>
      <c r="E21" s="3" t="s">
        <v>490</v>
      </c>
      <c r="F21" s="3" t="s">
        <v>491</v>
      </c>
    </row>
    <row r="22" spans="1:6" x14ac:dyDescent="0.2">
      <c r="A22" s="1">
        <v>0</v>
      </c>
      <c r="B22" s="1">
        <v>0</v>
      </c>
      <c r="C22" s="1">
        <v>0</v>
      </c>
      <c r="D22" s="1">
        <v>0</v>
      </c>
      <c r="E22" s="1" t="s">
        <v>492</v>
      </c>
      <c r="F22" s="1" t="s">
        <v>493</v>
      </c>
    </row>
    <row r="23" spans="1:6" x14ac:dyDescent="0.2">
      <c r="A23" s="1">
        <v>25</v>
      </c>
      <c r="B23" s="1">
        <v>38</v>
      </c>
      <c r="C23" s="1">
        <v>150</v>
      </c>
      <c r="D23" s="1">
        <v>0.64200000000000002</v>
      </c>
      <c r="E23" s="1" t="s">
        <v>492</v>
      </c>
      <c r="F23" s="1" t="s">
        <v>493</v>
      </c>
    </row>
    <row r="24" spans="1:6" x14ac:dyDescent="0.2">
      <c r="A24" s="1">
        <v>0</v>
      </c>
      <c r="B24" s="1">
        <v>0</v>
      </c>
      <c r="C24" s="1">
        <v>0</v>
      </c>
      <c r="D24" s="1">
        <v>0.11700000000000001</v>
      </c>
      <c r="E24" s="1" t="s">
        <v>492</v>
      </c>
      <c r="F24" s="1" t="s">
        <v>493</v>
      </c>
    </row>
    <row r="25" spans="1:6" x14ac:dyDescent="0.2">
      <c r="A25" s="1">
        <v>25</v>
      </c>
      <c r="B25" s="1">
        <v>38</v>
      </c>
      <c r="C25" s="1">
        <v>150</v>
      </c>
      <c r="D25" s="1">
        <v>0.71699999999999997</v>
      </c>
      <c r="E25" s="1" t="s">
        <v>494</v>
      </c>
      <c r="F25" s="1" t="s">
        <v>493</v>
      </c>
    </row>
    <row r="26" spans="1:6" x14ac:dyDescent="0.2">
      <c r="A26" s="1">
        <v>50</v>
      </c>
      <c r="B26" s="1">
        <v>75</v>
      </c>
      <c r="C26" s="1">
        <v>300</v>
      </c>
      <c r="D26" s="1">
        <v>1.2949999999999999</v>
      </c>
      <c r="E26" s="1" t="s">
        <v>494</v>
      </c>
      <c r="F26" s="1" t="s">
        <v>493</v>
      </c>
    </row>
    <row r="27" spans="1:6" x14ac:dyDescent="0.2">
      <c r="A27" s="1">
        <v>75</v>
      </c>
      <c r="B27" s="1">
        <v>113</v>
      </c>
      <c r="C27" s="1">
        <v>450</v>
      </c>
      <c r="D27" s="1">
        <v>2.2000000000000002</v>
      </c>
      <c r="E27" s="1" t="s">
        <v>494</v>
      </c>
      <c r="F27" s="1" t="s">
        <v>493</v>
      </c>
    </row>
    <row r="28" spans="1:6" x14ac:dyDescent="0.2">
      <c r="A28" s="8">
        <v>100</v>
      </c>
      <c r="B28" s="8">
        <v>150</v>
      </c>
      <c r="C28" s="8">
        <v>600</v>
      </c>
      <c r="D28" s="8">
        <v>3.36</v>
      </c>
      <c r="E28" s="8" t="s">
        <v>494</v>
      </c>
      <c r="F28" s="8" t="s">
        <v>495</v>
      </c>
    </row>
    <row r="29" spans="1:6" x14ac:dyDescent="0.2">
      <c r="A29" s="1">
        <v>125</v>
      </c>
      <c r="B29" s="1">
        <v>188</v>
      </c>
      <c r="C29" s="1">
        <v>750</v>
      </c>
      <c r="D29" s="1">
        <v>4.7320000000000002</v>
      </c>
      <c r="E29" s="1" t="s">
        <v>494</v>
      </c>
      <c r="F29" s="1" t="s">
        <v>493</v>
      </c>
    </row>
    <row r="30" spans="1:6" ht="28" x14ac:dyDescent="0.2">
      <c r="A30" s="8">
        <v>150</v>
      </c>
      <c r="B30" s="8">
        <v>225</v>
      </c>
      <c r="C30" s="8">
        <v>900</v>
      </c>
      <c r="D30" s="8">
        <v>6.29</v>
      </c>
      <c r="E30" s="8" t="s">
        <v>496</v>
      </c>
      <c r="F30" s="8" t="s">
        <v>497</v>
      </c>
    </row>
    <row r="31" spans="1:6" x14ac:dyDescent="0.2">
      <c r="A31" s="6">
        <v>125</v>
      </c>
      <c r="B31" s="6">
        <v>188</v>
      </c>
      <c r="C31" s="6">
        <v>750</v>
      </c>
      <c r="D31" s="6">
        <v>6.2720000000000002</v>
      </c>
      <c r="E31" s="6" t="s">
        <v>498</v>
      </c>
      <c r="F31" s="6" t="s">
        <v>499</v>
      </c>
    </row>
    <row r="32" spans="1:6" x14ac:dyDescent="0.2">
      <c r="A32" s="6">
        <v>100</v>
      </c>
      <c r="B32" s="6">
        <v>150</v>
      </c>
      <c r="C32" s="6">
        <v>600</v>
      </c>
      <c r="D32" s="6">
        <v>6.1769999999999996</v>
      </c>
      <c r="E32" s="6" t="s">
        <v>498</v>
      </c>
      <c r="F32" s="6" t="s">
        <v>499</v>
      </c>
    </row>
    <row r="33" spans="1:6" x14ac:dyDescent="0.2">
      <c r="A33" s="6">
        <v>75</v>
      </c>
      <c r="B33" s="6">
        <v>113</v>
      </c>
      <c r="C33" s="6">
        <v>450</v>
      </c>
      <c r="D33" s="6">
        <v>5.99</v>
      </c>
      <c r="E33" s="6" t="s">
        <v>498</v>
      </c>
      <c r="F33" s="6" t="s">
        <v>499</v>
      </c>
    </row>
    <row r="34" spans="1:6" x14ac:dyDescent="0.2">
      <c r="A34" s="6">
        <v>50</v>
      </c>
      <c r="B34" s="6">
        <v>75</v>
      </c>
      <c r="C34" s="6">
        <v>300</v>
      </c>
      <c r="D34" s="6">
        <v>5.7969999999999997</v>
      </c>
      <c r="E34" s="6" t="s">
        <v>498</v>
      </c>
      <c r="F34" s="6" t="s">
        <v>499</v>
      </c>
    </row>
    <row r="35" spans="1:6" x14ac:dyDescent="0.2">
      <c r="A35" s="6">
        <v>25</v>
      </c>
      <c r="B35" s="6">
        <v>38</v>
      </c>
      <c r="C35" s="6">
        <v>150</v>
      </c>
      <c r="D35" s="6">
        <v>5.415</v>
      </c>
      <c r="E35" s="6" t="s">
        <v>498</v>
      </c>
      <c r="F35" s="6" t="s">
        <v>499</v>
      </c>
    </row>
    <row r="36" spans="1:6" x14ac:dyDescent="0.2">
      <c r="A36" s="6">
        <v>0</v>
      </c>
      <c r="B36" s="6">
        <v>0</v>
      </c>
      <c r="C36" s="6">
        <v>0</v>
      </c>
      <c r="D36" s="6">
        <v>4.51</v>
      </c>
      <c r="E36" s="6" t="s">
        <v>498</v>
      </c>
      <c r="F36" s="6" t="s">
        <v>500</v>
      </c>
    </row>
    <row r="39" spans="1:6" ht="15" customHeight="1" x14ac:dyDescent="0.2">
      <c r="A39" s="15" t="s">
        <v>501</v>
      </c>
      <c r="B39" s="15"/>
      <c r="C39" s="15"/>
      <c r="D39" s="15"/>
      <c r="E39" s="15"/>
      <c r="F39" s="15"/>
    </row>
    <row r="40" spans="1:6" ht="49.5" customHeight="1" x14ac:dyDescent="0.2">
      <c r="A40" s="3" t="s">
        <v>502</v>
      </c>
      <c r="B40" s="3" t="s">
        <v>503</v>
      </c>
      <c r="C40" s="3" t="s">
        <v>504</v>
      </c>
      <c r="D40" s="3" t="s">
        <v>505</v>
      </c>
    </row>
    <row r="41" spans="1:6" ht="30" x14ac:dyDescent="0.2">
      <c r="A41" s="9" t="s">
        <v>506</v>
      </c>
      <c r="B41" s="9">
        <v>3.36</v>
      </c>
      <c r="C41" s="9">
        <v>6.29</v>
      </c>
      <c r="D41" s="9">
        <v>4.51</v>
      </c>
    </row>
    <row r="44" spans="1:6" ht="15" customHeight="1" x14ac:dyDescent="0.2">
      <c r="A44" s="15" t="s">
        <v>507</v>
      </c>
      <c r="B44" s="15"/>
      <c r="C44" s="15"/>
      <c r="D44" s="15"/>
      <c r="E44" s="15"/>
      <c r="F44" s="15"/>
    </row>
    <row r="45" spans="1:6" ht="15" customHeight="1" x14ac:dyDescent="0.2">
      <c r="A45" s="32" t="s">
        <v>508</v>
      </c>
      <c r="B45" s="32"/>
      <c r="C45" s="32"/>
      <c r="D45" s="32"/>
      <c r="E45" s="32"/>
      <c r="F45" s="32"/>
    </row>
    <row r="46" spans="1:6" ht="15" customHeight="1" x14ac:dyDescent="0.2">
      <c r="A46" s="32" t="s">
        <v>509</v>
      </c>
      <c r="B46" s="32"/>
      <c r="C46" s="32"/>
      <c r="D46" s="32"/>
      <c r="E46" s="32"/>
      <c r="F46" s="32"/>
    </row>
    <row r="47" spans="1:6" ht="15" customHeight="1" x14ac:dyDescent="0.2">
      <c r="A47" s="32" t="s">
        <v>510</v>
      </c>
      <c r="B47" s="32"/>
      <c r="C47" s="32"/>
      <c r="D47" s="32"/>
      <c r="E47" s="32"/>
      <c r="F47" s="32"/>
    </row>
    <row r="48" spans="1:6" ht="15" customHeight="1" x14ac:dyDescent="0.2">
      <c r="A48" s="32" t="s">
        <v>511</v>
      </c>
      <c r="B48" s="32"/>
      <c r="C48" s="32"/>
      <c r="D48" s="32"/>
      <c r="E48" s="32"/>
      <c r="F48" s="32"/>
    </row>
    <row r="51" spans="1:6" ht="15" customHeight="1" x14ac:dyDescent="0.2">
      <c r="A51" s="15" t="s">
        <v>512</v>
      </c>
      <c r="B51" s="15"/>
      <c r="C51" s="15"/>
      <c r="D51" s="15"/>
      <c r="E51" s="15"/>
      <c r="F51" s="15"/>
    </row>
    <row r="52" spans="1:6" ht="15" customHeight="1" x14ac:dyDescent="0.2">
      <c r="A52" s="21" t="s">
        <v>513</v>
      </c>
      <c r="B52" s="21"/>
      <c r="C52" s="21"/>
      <c r="D52" s="21"/>
      <c r="E52" s="21"/>
      <c r="F52" s="21"/>
    </row>
    <row r="53" spans="1:6" ht="15" customHeight="1" x14ac:dyDescent="0.2">
      <c r="A53" s="21" t="s">
        <v>514</v>
      </c>
      <c r="B53" s="21"/>
      <c r="C53" s="21"/>
      <c r="D53" s="21"/>
      <c r="E53" s="21"/>
      <c r="F53" s="21"/>
    </row>
    <row r="54" spans="1:6" ht="15" customHeight="1" x14ac:dyDescent="0.2">
      <c r="A54" s="21" t="s">
        <v>515</v>
      </c>
      <c r="B54" s="21"/>
      <c r="C54" s="21"/>
      <c r="D54" s="21"/>
      <c r="E54" s="21"/>
      <c r="F54" s="21"/>
    </row>
    <row r="55" spans="1:6" ht="15" customHeight="1" x14ac:dyDescent="0.2">
      <c r="A55" s="21" t="s">
        <v>516</v>
      </c>
      <c r="B55" s="21"/>
      <c r="C55" s="21"/>
      <c r="D55" s="21"/>
      <c r="E55" s="21"/>
      <c r="F55" s="21"/>
    </row>
    <row r="56" spans="1:6" ht="15" customHeight="1" x14ac:dyDescent="0.2">
      <c r="A56" s="21" t="s">
        <v>517</v>
      </c>
      <c r="B56" s="21"/>
      <c r="C56" s="21"/>
      <c r="D56" s="21"/>
      <c r="E56" s="21"/>
      <c r="F56" s="21"/>
    </row>
    <row r="57" spans="1:6" ht="15" customHeight="1" x14ac:dyDescent="0.2">
      <c r="A57" s="21" t="s">
        <v>518</v>
      </c>
      <c r="B57" s="21"/>
      <c r="C57" s="21"/>
      <c r="D57" s="21"/>
      <c r="E57" s="21"/>
      <c r="F57" s="21"/>
    </row>
    <row r="58" spans="1:6" ht="15" customHeight="1" x14ac:dyDescent="0.2">
      <c r="A58" s="21" t="s">
        <v>519</v>
      </c>
      <c r="B58" s="21"/>
      <c r="C58" s="21"/>
      <c r="D58" s="21"/>
      <c r="E58" s="21"/>
      <c r="F58" s="21"/>
    </row>
  </sheetData>
  <mergeCells count="45">
    <mergeCell ref="A54:F54"/>
    <mergeCell ref="A55:F55"/>
    <mergeCell ref="A56:F56"/>
    <mergeCell ref="A57:F57"/>
    <mergeCell ref="A58:F58"/>
    <mergeCell ref="A47:F47"/>
    <mergeCell ref="A48:F48"/>
    <mergeCell ref="A51:F51"/>
    <mergeCell ref="A52:F52"/>
    <mergeCell ref="A53:F53"/>
    <mergeCell ref="A20:F20"/>
    <mergeCell ref="A39:F39"/>
    <mergeCell ref="A44:F44"/>
    <mergeCell ref="A45:F45"/>
    <mergeCell ref="A46:F46"/>
    <mergeCell ref="A15:B15"/>
    <mergeCell ref="C15:F15"/>
    <mergeCell ref="A16:B16"/>
    <mergeCell ref="C16:F16"/>
    <mergeCell ref="A17:B17"/>
    <mergeCell ref="C17:F17"/>
    <mergeCell ref="A12:B12"/>
    <mergeCell ref="C12:F12"/>
    <mergeCell ref="A13:B13"/>
    <mergeCell ref="C13:F13"/>
    <mergeCell ref="A14:B14"/>
    <mergeCell ref="C14:F14"/>
    <mergeCell ref="A9:B9"/>
    <mergeCell ref="C9:F9"/>
    <mergeCell ref="A10:B10"/>
    <mergeCell ref="C10:F10"/>
    <mergeCell ref="A11:B11"/>
    <mergeCell ref="C11:F11"/>
    <mergeCell ref="A6:B6"/>
    <mergeCell ref="C6:F6"/>
    <mergeCell ref="A7:B7"/>
    <mergeCell ref="C7:F7"/>
    <mergeCell ref="A8:B8"/>
    <mergeCell ref="C8:F8"/>
    <mergeCell ref="A1:F1"/>
    <mergeCell ref="A3:F3"/>
    <mergeCell ref="A4:B4"/>
    <mergeCell ref="C4:F4"/>
    <mergeCell ref="A5:B5"/>
    <mergeCell ref="C5:F5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90"/>
  <sheetViews>
    <sheetView showGridLines="0" zoomScale="130" zoomScaleNormal="130" workbookViewId="0">
      <pane ySplit="2" topLeftCell="A37" activePane="bottomLeft" state="frozen"/>
      <selection pane="bottomLeft" activeCell="E76" sqref="E76"/>
    </sheetView>
  </sheetViews>
  <sheetFormatPr baseColWidth="10" defaultColWidth="8.6640625" defaultRowHeight="15" x14ac:dyDescent="0.2"/>
  <cols>
    <col min="1" max="1" width="10" customWidth="1"/>
    <col min="2" max="2" width="14" customWidth="1"/>
    <col min="3" max="3" width="12" customWidth="1"/>
    <col min="4" max="4" width="22" customWidth="1"/>
    <col min="5" max="6" width="14" customWidth="1"/>
    <col min="7" max="7" width="22" customWidth="1"/>
    <col min="8" max="8" width="14" customWidth="1"/>
  </cols>
  <sheetData>
    <row r="1" spans="1:8" ht="27.75" customHeight="1" x14ac:dyDescent="0.2">
      <c r="A1" s="14" t="s">
        <v>717</v>
      </c>
      <c r="B1" s="14"/>
      <c r="C1" s="14"/>
      <c r="D1" s="14"/>
      <c r="E1" s="14"/>
      <c r="F1" s="14"/>
      <c r="G1" s="14"/>
      <c r="H1" s="14"/>
    </row>
    <row r="3" spans="1:8" ht="15" customHeight="1" x14ac:dyDescent="0.2">
      <c r="A3" s="15" t="s">
        <v>520</v>
      </c>
      <c r="B3" s="15"/>
      <c r="C3" s="15"/>
      <c r="D3" s="15"/>
      <c r="E3" s="15"/>
      <c r="F3" s="15"/>
      <c r="G3" s="15"/>
      <c r="H3" s="15"/>
    </row>
    <row r="4" spans="1:8" ht="15" customHeight="1" x14ac:dyDescent="0.2">
      <c r="A4" s="18" t="s">
        <v>233</v>
      </c>
      <c r="B4" s="18"/>
      <c r="C4" s="18"/>
      <c r="D4" s="16" t="s">
        <v>521</v>
      </c>
      <c r="E4" s="16"/>
      <c r="F4" s="16"/>
      <c r="G4" s="16"/>
      <c r="H4" s="16"/>
    </row>
    <row r="5" spans="1:8" ht="15" customHeight="1" x14ac:dyDescent="0.2">
      <c r="A5" s="18" t="s">
        <v>471</v>
      </c>
      <c r="B5" s="18"/>
      <c r="C5" s="18"/>
      <c r="D5" s="16" t="s">
        <v>522</v>
      </c>
      <c r="E5" s="16"/>
      <c r="F5" s="16"/>
      <c r="G5" s="16"/>
      <c r="H5" s="16"/>
    </row>
    <row r="6" spans="1:8" ht="15" customHeight="1" x14ac:dyDescent="0.2">
      <c r="A6" s="18" t="s">
        <v>523</v>
      </c>
      <c r="B6" s="18"/>
      <c r="C6" s="18"/>
      <c r="D6" s="16" t="s">
        <v>524</v>
      </c>
      <c r="E6" s="16"/>
      <c r="F6" s="16"/>
      <c r="G6" s="16"/>
      <c r="H6" s="16"/>
    </row>
    <row r="7" spans="1:8" ht="15" customHeight="1" x14ac:dyDescent="0.2">
      <c r="A7" s="18" t="s">
        <v>525</v>
      </c>
      <c r="B7" s="18"/>
      <c r="C7" s="18"/>
      <c r="D7" s="16" t="s">
        <v>526</v>
      </c>
      <c r="E7" s="16"/>
      <c r="F7" s="16"/>
      <c r="G7" s="16"/>
      <c r="H7" s="16"/>
    </row>
    <row r="8" spans="1:8" ht="15" customHeight="1" x14ac:dyDescent="0.2">
      <c r="A8" s="18" t="s">
        <v>527</v>
      </c>
      <c r="B8" s="18"/>
      <c r="C8" s="18"/>
      <c r="D8" s="16" t="s">
        <v>528</v>
      </c>
      <c r="E8" s="16"/>
      <c r="F8" s="16"/>
      <c r="G8" s="16"/>
      <c r="H8" s="16"/>
    </row>
    <row r="9" spans="1:8" ht="15" customHeight="1" x14ac:dyDescent="0.2">
      <c r="A9" s="18" t="s">
        <v>529</v>
      </c>
      <c r="B9" s="18"/>
      <c r="C9" s="18"/>
      <c r="D9" s="16" t="s">
        <v>530</v>
      </c>
      <c r="E9" s="16"/>
      <c r="F9" s="16"/>
      <c r="G9" s="16"/>
      <c r="H9" s="16"/>
    </row>
    <row r="10" spans="1:8" ht="15" customHeight="1" x14ac:dyDescent="0.2">
      <c r="A10" s="18" t="s">
        <v>531</v>
      </c>
      <c r="B10" s="18"/>
      <c r="C10" s="18"/>
      <c r="D10" s="16" t="s">
        <v>532</v>
      </c>
      <c r="E10" s="16"/>
      <c r="F10" s="16"/>
      <c r="G10" s="16"/>
      <c r="H10" s="16"/>
    </row>
    <row r="11" spans="1:8" ht="15" customHeight="1" x14ac:dyDescent="0.2">
      <c r="A11" s="18" t="s">
        <v>533</v>
      </c>
      <c r="B11" s="18"/>
      <c r="C11" s="18"/>
      <c r="D11" s="16" t="s">
        <v>534</v>
      </c>
      <c r="E11" s="16"/>
      <c r="F11" s="16"/>
      <c r="G11" s="16"/>
      <c r="H11" s="16"/>
    </row>
    <row r="12" spans="1:8" ht="15" customHeight="1" x14ac:dyDescent="0.2">
      <c r="A12" s="18" t="s">
        <v>535</v>
      </c>
      <c r="B12" s="18"/>
      <c r="C12" s="18"/>
      <c r="D12" s="16" t="s">
        <v>536</v>
      </c>
      <c r="E12" s="16"/>
      <c r="F12" s="16"/>
      <c r="G12" s="16"/>
      <c r="H12" s="16"/>
    </row>
    <row r="13" spans="1:8" ht="15" customHeight="1" x14ac:dyDescent="0.2">
      <c r="A13" s="18" t="s">
        <v>17</v>
      </c>
      <c r="B13" s="18"/>
      <c r="C13" s="18"/>
      <c r="D13" s="16" t="s">
        <v>536</v>
      </c>
      <c r="E13" s="16"/>
      <c r="F13" s="16"/>
      <c r="G13" s="16"/>
      <c r="H13" s="16"/>
    </row>
    <row r="14" spans="1:8" ht="15" customHeight="1" x14ac:dyDescent="0.2">
      <c r="A14" s="18" t="s">
        <v>537</v>
      </c>
      <c r="B14" s="18"/>
      <c r="C14" s="18"/>
      <c r="D14" s="16" t="s">
        <v>538</v>
      </c>
      <c r="E14" s="16"/>
      <c r="F14" s="16"/>
      <c r="G14" s="16"/>
      <c r="H14" s="16"/>
    </row>
    <row r="15" spans="1:8" ht="15" customHeight="1" x14ac:dyDescent="0.2">
      <c r="A15" s="18" t="s">
        <v>539</v>
      </c>
      <c r="B15" s="18"/>
      <c r="C15" s="18"/>
      <c r="D15" s="16" t="s">
        <v>718</v>
      </c>
      <c r="E15" s="16"/>
      <c r="F15" s="16"/>
      <c r="G15" s="16"/>
      <c r="H15" s="16"/>
    </row>
    <row r="18" spans="1:8" ht="15" customHeight="1" x14ac:dyDescent="0.2">
      <c r="A18" s="15" t="s">
        <v>540</v>
      </c>
      <c r="B18" s="15"/>
      <c r="C18" s="15"/>
      <c r="D18" s="15"/>
      <c r="E18" s="15"/>
      <c r="F18" s="15"/>
      <c r="G18" s="15"/>
      <c r="H18" s="15"/>
    </row>
    <row r="19" spans="1:8" ht="39.75" customHeight="1" x14ac:dyDescent="0.2">
      <c r="A19" s="3" t="s">
        <v>541</v>
      </c>
      <c r="B19" s="3" t="s">
        <v>233</v>
      </c>
      <c r="C19" s="3" t="s">
        <v>542</v>
      </c>
      <c r="D19" s="3" t="s">
        <v>543</v>
      </c>
      <c r="E19" s="3" t="s">
        <v>544</v>
      </c>
      <c r="F19" s="3" t="s">
        <v>545</v>
      </c>
      <c r="G19" s="3" t="s">
        <v>546</v>
      </c>
      <c r="H19" s="3" t="s">
        <v>547</v>
      </c>
    </row>
    <row r="20" spans="1:8" x14ac:dyDescent="0.2">
      <c r="A20" s="1">
        <v>1</v>
      </c>
      <c r="B20" s="1" t="s">
        <v>548</v>
      </c>
      <c r="C20" s="1">
        <v>584</v>
      </c>
      <c r="D20" s="1">
        <v>4000</v>
      </c>
      <c r="E20" s="1">
        <v>85</v>
      </c>
      <c r="F20" s="1">
        <v>0</v>
      </c>
      <c r="G20" s="1">
        <v>15</v>
      </c>
      <c r="H20" s="1">
        <v>15</v>
      </c>
    </row>
    <row r="21" spans="1:8" x14ac:dyDescent="0.2">
      <c r="A21" s="1">
        <v>2</v>
      </c>
      <c r="B21" s="1" t="s">
        <v>548</v>
      </c>
      <c r="C21" s="1">
        <v>520</v>
      </c>
      <c r="D21" s="1">
        <v>4000</v>
      </c>
      <c r="E21" s="1">
        <v>85</v>
      </c>
      <c r="F21" s="1">
        <v>0</v>
      </c>
      <c r="G21" s="1">
        <v>15</v>
      </c>
      <c r="H21" s="1">
        <v>15</v>
      </c>
    </row>
    <row r="22" spans="1:8" x14ac:dyDescent="0.2">
      <c r="A22" s="1">
        <v>3</v>
      </c>
      <c r="B22" s="1" t="s">
        <v>548</v>
      </c>
      <c r="C22" s="1">
        <v>295</v>
      </c>
      <c r="D22" s="1">
        <v>4000</v>
      </c>
      <c r="E22" s="1">
        <v>101.1</v>
      </c>
      <c r="F22" s="1">
        <v>0</v>
      </c>
      <c r="G22" s="1">
        <v>17.3</v>
      </c>
      <c r="H22" s="1">
        <v>15</v>
      </c>
    </row>
    <row r="23" spans="1:8" x14ac:dyDescent="0.2">
      <c r="A23" s="1">
        <v>4</v>
      </c>
      <c r="B23" s="1" t="s">
        <v>548</v>
      </c>
      <c r="C23" s="1">
        <v>579</v>
      </c>
      <c r="D23" s="1">
        <v>4000</v>
      </c>
      <c r="E23" s="1">
        <v>101.1</v>
      </c>
      <c r="F23" s="1">
        <v>0</v>
      </c>
      <c r="G23" s="1">
        <v>10</v>
      </c>
      <c r="H23" s="1">
        <v>15</v>
      </c>
    </row>
    <row r="24" spans="1:8" x14ac:dyDescent="0.2">
      <c r="A24" s="1">
        <v>5</v>
      </c>
      <c r="B24" s="1" t="s">
        <v>548</v>
      </c>
      <c r="C24" s="1">
        <v>551</v>
      </c>
      <c r="D24" s="1">
        <v>4000</v>
      </c>
      <c r="E24" s="1">
        <v>85</v>
      </c>
      <c r="F24" s="1">
        <v>0</v>
      </c>
      <c r="G24" s="1">
        <v>15</v>
      </c>
      <c r="H24" s="1">
        <v>19</v>
      </c>
    </row>
    <row r="25" spans="1:8" x14ac:dyDescent="0.2">
      <c r="A25" s="1">
        <v>6</v>
      </c>
      <c r="B25" s="1" t="s">
        <v>548</v>
      </c>
      <c r="C25" s="1">
        <v>596</v>
      </c>
      <c r="D25" s="1">
        <v>4000</v>
      </c>
      <c r="E25" s="1">
        <v>85</v>
      </c>
      <c r="F25" s="1">
        <v>0</v>
      </c>
      <c r="G25" s="1">
        <v>10</v>
      </c>
      <c r="H25" s="1">
        <v>15</v>
      </c>
    </row>
    <row r="26" spans="1:8" x14ac:dyDescent="0.2">
      <c r="A26" s="1">
        <v>7</v>
      </c>
      <c r="B26" s="1" t="s">
        <v>548</v>
      </c>
      <c r="C26" s="1">
        <v>572</v>
      </c>
      <c r="D26" s="1">
        <v>4000</v>
      </c>
      <c r="E26" s="1">
        <v>10</v>
      </c>
      <c r="F26" s="1">
        <v>0</v>
      </c>
      <c r="G26" s="1">
        <v>10</v>
      </c>
      <c r="H26" s="1">
        <v>15</v>
      </c>
    </row>
    <row r="27" spans="1:8" x14ac:dyDescent="0.2">
      <c r="A27" s="1">
        <v>8</v>
      </c>
      <c r="B27" s="1" t="s">
        <v>548</v>
      </c>
      <c r="C27" s="1">
        <v>569</v>
      </c>
      <c r="D27" s="1">
        <v>4000</v>
      </c>
      <c r="E27" s="1">
        <v>85</v>
      </c>
      <c r="F27" s="1">
        <v>0</v>
      </c>
      <c r="G27" s="1">
        <v>10</v>
      </c>
      <c r="H27" s="1">
        <v>16</v>
      </c>
    </row>
    <row r="28" spans="1:8" x14ac:dyDescent="0.2">
      <c r="A28" s="1">
        <v>9</v>
      </c>
      <c r="B28" s="1" t="s">
        <v>548</v>
      </c>
      <c r="C28" s="1">
        <v>542</v>
      </c>
      <c r="D28" s="1">
        <v>4000</v>
      </c>
      <c r="E28" s="1">
        <v>85</v>
      </c>
      <c r="F28" s="1">
        <v>0</v>
      </c>
      <c r="G28" s="1">
        <v>15</v>
      </c>
      <c r="H28" s="1">
        <v>15</v>
      </c>
    </row>
    <row r="29" spans="1:8" x14ac:dyDescent="0.2">
      <c r="A29" s="1">
        <v>10</v>
      </c>
      <c r="B29" s="1" t="s">
        <v>548</v>
      </c>
      <c r="C29" s="1">
        <v>866</v>
      </c>
      <c r="D29" s="1">
        <v>4000</v>
      </c>
      <c r="E29" s="1">
        <v>85</v>
      </c>
      <c r="F29" s="1">
        <v>0</v>
      </c>
      <c r="G29" s="1">
        <v>10</v>
      </c>
      <c r="H29" s="1">
        <v>15</v>
      </c>
    </row>
    <row r="30" spans="1:8" x14ac:dyDescent="0.2">
      <c r="A30" s="1">
        <v>11</v>
      </c>
      <c r="B30" s="1" t="s">
        <v>548</v>
      </c>
      <c r="C30" s="1">
        <v>328</v>
      </c>
      <c r="D30" s="1">
        <v>4000</v>
      </c>
      <c r="E30" s="1">
        <v>95</v>
      </c>
      <c r="F30" s="1">
        <v>0</v>
      </c>
      <c r="G30" s="1">
        <v>17</v>
      </c>
      <c r="H30" s="1">
        <v>15</v>
      </c>
    </row>
    <row r="31" spans="1:8" x14ac:dyDescent="0.2">
      <c r="A31" s="1">
        <v>12</v>
      </c>
      <c r="B31" s="1" t="s">
        <v>548</v>
      </c>
      <c r="C31" s="1">
        <v>319</v>
      </c>
      <c r="D31" s="1">
        <v>4000</v>
      </c>
      <c r="E31" s="1">
        <v>95</v>
      </c>
      <c r="F31" s="1">
        <v>0</v>
      </c>
      <c r="G31" s="1">
        <v>17</v>
      </c>
      <c r="H31" s="1">
        <v>15</v>
      </c>
    </row>
    <row r="32" spans="1:8" x14ac:dyDescent="0.2">
      <c r="A32" s="1">
        <v>13</v>
      </c>
      <c r="B32" s="1" t="s">
        <v>548</v>
      </c>
      <c r="C32" s="1">
        <v>590</v>
      </c>
      <c r="D32" s="1">
        <v>4000</v>
      </c>
      <c r="E32" s="1">
        <v>85</v>
      </c>
      <c r="F32" s="1">
        <v>0</v>
      </c>
      <c r="G32" s="1">
        <v>14.5</v>
      </c>
      <c r="H32" s="1">
        <v>15</v>
      </c>
    </row>
    <row r="33" spans="1:8" x14ac:dyDescent="0.2">
      <c r="A33" s="1">
        <v>14</v>
      </c>
      <c r="B33" s="1" t="s">
        <v>548</v>
      </c>
      <c r="C33" s="1">
        <v>317</v>
      </c>
      <c r="D33" s="1">
        <v>4000</v>
      </c>
      <c r="E33" s="1">
        <v>95</v>
      </c>
      <c r="F33" s="1">
        <v>0</v>
      </c>
      <c r="G33" s="1">
        <v>17</v>
      </c>
      <c r="H33" s="1">
        <v>16</v>
      </c>
    </row>
    <row r="34" spans="1:8" x14ac:dyDescent="0.2">
      <c r="A34" s="1">
        <v>15</v>
      </c>
      <c r="B34" s="1" t="s">
        <v>548</v>
      </c>
      <c r="C34" s="1">
        <v>891</v>
      </c>
      <c r="D34" s="1">
        <v>4000</v>
      </c>
      <c r="E34" s="1">
        <v>60</v>
      </c>
      <c r="F34" s="1">
        <v>0</v>
      </c>
      <c r="G34" s="1">
        <v>10</v>
      </c>
      <c r="H34" s="1">
        <v>15</v>
      </c>
    </row>
    <row r="35" spans="1:8" x14ac:dyDescent="0.2">
      <c r="A35" s="1">
        <v>16</v>
      </c>
      <c r="B35" s="1" t="s">
        <v>548</v>
      </c>
      <c r="C35" s="1">
        <v>280</v>
      </c>
      <c r="D35" s="1">
        <v>4000</v>
      </c>
      <c r="E35" s="1">
        <v>100</v>
      </c>
      <c r="F35" s="1">
        <v>0</v>
      </c>
      <c r="G35" s="1">
        <v>18.5</v>
      </c>
      <c r="H35" s="1">
        <v>15</v>
      </c>
    </row>
    <row r="36" spans="1:8" x14ac:dyDescent="0.2">
      <c r="A36" s="1">
        <v>17</v>
      </c>
      <c r="B36" s="1" t="s">
        <v>548</v>
      </c>
      <c r="C36" s="1">
        <v>232</v>
      </c>
      <c r="D36" s="1">
        <v>4000</v>
      </c>
      <c r="E36" s="1">
        <v>95</v>
      </c>
      <c r="F36" s="1">
        <v>0</v>
      </c>
      <c r="G36" s="1">
        <v>16.5</v>
      </c>
      <c r="H36" s="1">
        <v>15</v>
      </c>
    </row>
    <row r="37" spans="1:8" x14ac:dyDescent="0.2">
      <c r="A37" s="1">
        <v>18</v>
      </c>
      <c r="B37" s="1" t="s">
        <v>548</v>
      </c>
      <c r="C37" s="1">
        <v>265</v>
      </c>
      <c r="D37" s="1">
        <v>4000</v>
      </c>
      <c r="E37" s="1">
        <v>100</v>
      </c>
      <c r="F37" s="1">
        <v>0</v>
      </c>
      <c r="G37" s="1">
        <v>18.2</v>
      </c>
      <c r="H37" s="1">
        <v>15</v>
      </c>
    </row>
    <row r="38" spans="1:8" x14ac:dyDescent="0.2">
      <c r="A38" s="1">
        <v>19</v>
      </c>
      <c r="B38" s="1" t="s">
        <v>548</v>
      </c>
      <c r="C38" s="1">
        <v>263</v>
      </c>
      <c r="D38" s="1">
        <v>4000</v>
      </c>
      <c r="E38" s="1">
        <v>100</v>
      </c>
      <c r="F38" s="1">
        <v>0</v>
      </c>
      <c r="G38" s="1">
        <v>18.2</v>
      </c>
      <c r="H38" s="1">
        <v>15</v>
      </c>
    </row>
    <row r="39" spans="1:8" x14ac:dyDescent="0.2">
      <c r="A39" s="1">
        <v>20</v>
      </c>
      <c r="B39" s="1" t="s">
        <v>548</v>
      </c>
      <c r="C39" s="1">
        <v>248</v>
      </c>
      <c r="D39" s="1">
        <v>4000</v>
      </c>
      <c r="E39" s="1">
        <v>100</v>
      </c>
      <c r="F39" s="1">
        <v>0</v>
      </c>
      <c r="G39" s="1">
        <v>10</v>
      </c>
      <c r="H39" s="1">
        <v>15</v>
      </c>
    </row>
    <row r="40" spans="1:8" x14ac:dyDescent="0.2">
      <c r="A40" s="1">
        <v>21</v>
      </c>
      <c r="B40" s="1" t="s">
        <v>548</v>
      </c>
      <c r="C40" s="1">
        <v>996</v>
      </c>
      <c r="D40" s="1">
        <v>4000</v>
      </c>
      <c r="E40" s="1">
        <v>100</v>
      </c>
      <c r="F40" s="1">
        <v>0</v>
      </c>
      <c r="G40" s="1">
        <v>18.2</v>
      </c>
      <c r="H40" s="1">
        <v>15</v>
      </c>
    </row>
    <row r="41" spans="1:8" x14ac:dyDescent="0.2">
      <c r="A41" s="1">
        <v>22</v>
      </c>
      <c r="B41" s="1" t="s">
        <v>548</v>
      </c>
      <c r="C41" s="1">
        <v>1026</v>
      </c>
      <c r="D41" s="1">
        <v>4000</v>
      </c>
      <c r="E41" s="1">
        <v>100</v>
      </c>
      <c r="F41" s="1">
        <v>0</v>
      </c>
      <c r="G41" s="1">
        <v>18.3</v>
      </c>
      <c r="H41" s="1">
        <v>15</v>
      </c>
    </row>
    <row r="42" spans="1:8" x14ac:dyDescent="0.2">
      <c r="A42" s="1">
        <v>23</v>
      </c>
      <c r="B42" s="1" t="s">
        <v>548</v>
      </c>
      <c r="C42" s="1">
        <v>1027</v>
      </c>
      <c r="D42" s="1">
        <v>4000</v>
      </c>
      <c r="E42" s="1">
        <v>100</v>
      </c>
      <c r="F42" s="1">
        <v>0</v>
      </c>
      <c r="G42" s="1">
        <v>18</v>
      </c>
      <c r="H42" s="1">
        <v>15</v>
      </c>
    </row>
    <row r="43" spans="1:8" x14ac:dyDescent="0.2">
      <c r="A43" s="1">
        <v>24</v>
      </c>
      <c r="B43" s="1" t="s">
        <v>548</v>
      </c>
      <c r="C43" s="1">
        <v>1043</v>
      </c>
      <c r="D43" s="1">
        <v>4000</v>
      </c>
      <c r="E43" s="1">
        <v>100</v>
      </c>
      <c r="F43" s="1">
        <v>0</v>
      </c>
      <c r="G43" s="1">
        <v>18.100000000000001</v>
      </c>
      <c r="H43" s="1">
        <v>15</v>
      </c>
    </row>
    <row r="44" spans="1:8" x14ac:dyDescent="0.2">
      <c r="A44" s="1">
        <v>25</v>
      </c>
      <c r="B44" s="1" t="s">
        <v>548</v>
      </c>
      <c r="C44" s="1">
        <v>1071</v>
      </c>
      <c r="D44" s="1">
        <v>4000</v>
      </c>
      <c r="E44" s="1">
        <v>100</v>
      </c>
      <c r="F44" s="1">
        <v>0</v>
      </c>
      <c r="G44" s="1">
        <v>18.399999999999999</v>
      </c>
      <c r="H44" s="1">
        <v>15</v>
      </c>
    </row>
    <row r="45" spans="1:8" x14ac:dyDescent="0.2">
      <c r="A45" s="1">
        <v>26</v>
      </c>
      <c r="B45" s="1" t="s">
        <v>548</v>
      </c>
      <c r="C45" s="1">
        <v>1088</v>
      </c>
      <c r="D45" s="1">
        <v>4000</v>
      </c>
      <c r="E45" s="1">
        <v>100</v>
      </c>
      <c r="F45" s="1">
        <v>0</v>
      </c>
      <c r="G45" s="1">
        <v>18</v>
      </c>
      <c r="H45" s="1">
        <v>15</v>
      </c>
    </row>
    <row r="46" spans="1:8" x14ac:dyDescent="0.2">
      <c r="A46" s="1">
        <v>27</v>
      </c>
      <c r="B46" s="1" t="s">
        <v>548</v>
      </c>
      <c r="C46" s="1">
        <v>87</v>
      </c>
      <c r="D46" s="1">
        <v>4000</v>
      </c>
      <c r="E46" s="1">
        <v>100</v>
      </c>
      <c r="F46" s="1">
        <v>0</v>
      </c>
      <c r="G46" s="1">
        <v>18</v>
      </c>
      <c r="H46" s="1">
        <v>15</v>
      </c>
    </row>
    <row r="47" spans="1:8" x14ac:dyDescent="0.2">
      <c r="A47" s="1">
        <v>28</v>
      </c>
      <c r="B47" s="1" t="s">
        <v>548</v>
      </c>
      <c r="C47" s="1">
        <v>41</v>
      </c>
      <c r="D47" s="1">
        <v>4000</v>
      </c>
      <c r="E47" s="1">
        <v>102.6</v>
      </c>
      <c r="F47" s="1">
        <v>0</v>
      </c>
      <c r="G47" s="1">
        <v>18.5</v>
      </c>
      <c r="H47" s="1">
        <v>15</v>
      </c>
    </row>
    <row r="48" spans="1:8" x14ac:dyDescent="0.2">
      <c r="A48" s="1">
        <v>29</v>
      </c>
      <c r="B48" s="1" t="s">
        <v>548</v>
      </c>
      <c r="C48" s="1">
        <v>44</v>
      </c>
      <c r="D48" s="1">
        <v>4000</v>
      </c>
      <c r="E48" s="1">
        <v>85</v>
      </c>
      <c r="F48" s="1">
        <v>0</v>
      </c>
      <c r="G48" s="1">
        <v>15.5</v>
      </c>
      <c r="H48" s="1">
        <v>15</v>
      </c>
    </row>
    <row r="49" spans="1:8" x14ac:dyDescent="0.2">
      <c r="A49" s="1">
        <v>30</v>
      </c>
      <c r="B49" s="1" t="s">
        <v>548</v>
      </c>
      <c r="C49" s="1" t="s">
        <v>549</v>
      </c>
      <c r="D49" s="1">
        <v>4000</v>
      </c>
      <c r="E49" s="1">
        <v>100</v>
      </c>
      <c r="F49" s="1">
        <v>0</v>
      </c>
      <c r="G49" s="1">
        <v>18</v>
      </c>
      <c r="H49" s="1">
        <v>15</v>
      </c>
    </row>
    <row r="50" spans="1:8" x14ac:dyDescent="0.2">
      <c r="A50" s="1">
        <v>31</v>
      </c>
      <c r="B50" s="1" t="s">
        <v>548</v>
      </c>
      <c r="C50" s="1">
        <v>969</v>
      </c>
      <c r="D50" s="1">
        <v>4000</v>
      </c>
      <c r="E50" s="1">
        <v>85</v>
      </c>
      <c r="F50" s="1">
        <v>0</v>
      </c>
      <c r="G50" s="1">
        <v>14.5</v>
      </c>
      <c r="H50" s="1">
        <v>15</v>
      </c>
    </row>
    <row r="51" spans="1:8" x14ac:dyDescent="0.2">
      <c r="A51" s="1">
        <v>32</v>
      </c>
      <c r="B51" s="1" t="s">
        <v>548</v>
      </c>
      <c r="C51" s="1">
        <v>116</v>
      </c>
      <c r="D51" s="1">
        <v>4000</v>
      </c>
      <c r="E51" s="1">
        <v>95</v>
      </c>
      <c r="F51" s="1">
        <v>0</v>
      </c>
      <c r="G51" s="1">
        <v>17</v>
      </c>
      <c r="H51" s="1">
        <v>17</v>
      </c>
    </row>
    <row r="52" spans="1:8" x14ac:dyDescent="0.2">
      <c r="A52" s="1">
        <v>33</v>
      </c>
      <c r="B52" s="1" t="s">
        <v>548</v>
      </c>
      <c r="C52" s="1">
        <v>112</v>
      </c>
      <c r="D52" s="1">
        <v>4000</v>
      </c>
      <c r="E52" s="1">
        <v>100</v>
      </c>
      <c r="F52" s="1">
        <v>0</v>
      </c>
      <c r="G52" s="1">
        <v>18.5</v>
      </c>
      <c r="H52" s="1">
        <v>15</v>
      </c>
    </row>
    <row r="53" spans="1:8" x14ac:dyDescent="0.2">
      <c r="A53" s="1">
        <v>34</v>
      </c>
      <c r="B53" s="1" t="s">
        <v>548</v>
      </c>
      <c r="C53" s="1">
        <v>160</v>
      </c>
      <c r="D53" s="1">
        <v>4000</v>
      </c>
      <c r="E53" s="1">
        <v>100</v>
      </c>
      <c r="F53" s="1">
        <v>0</v>
      </c>
      <c r="G53" s="1">
        <v>18.3</v>
      </c>
      <c r="H53" s="1">
        <v>15</v>
      </c>
    </row>
    <row r="54" spans="1:8" x14ac:dyDescent="0.2">
      <c r="A54" s="1">
        <v>35</v>
      </c>
      <c r="B54" s="1" t="s">
        <v>548</v>
      </c>
      <c r="C54" s="1">
        <v>196</v>
      </c>
      <c r="D54" s="1">
        <v>4000</v>
      </c>
      <c r="E54" s="1">
        <v>100</v>
      </c>
      <c r="F54" s="1">
        <v>0</v>
      </c>
      <c r="G54" s="1">
        <v>10</v>
      </c>
      <c r="H54" s="1">
        <v>15</v>
      </c>
    </row>
    <row r="55" spans="1:8" x14ac:dyDescent="0.2">
      <c r="A55" s="1">
        <v>36</v>
      </c>
      <c r="B55" s="1" t="s">
        <v>548</v>
      </c>
      <c r="C55" s="1">
        <v>320</v>
      </c>
      <c r="D55" s="1">
        <v>4000</v>
      </c>
      <c r="E55" s="1">
        <v>95</v>
      </c>
      <c r="F55" s="1">
        <v>0</v>
      </c>
      <c r="G55" s="1">
        <v>17</v>
      </c>
      <c r="H55" s="1">
        <v>15</v>
      </c>
    </row>
    <row r="56" spans="1:8" x14ac:dyDescent="0.2">
      <c r="A56" s="1">
        <v>37</v>
      </c>
      <c r="B56" s="1" t="s">
        <v>548</v>
      </c>
      <c r="C56" s="1">
        <v>313</v>
      </c>
      <c r="D56" s="1">
        <v>4000</v>
      </c>
      <c r="E56" s="1">
        <v>90</v>
      </c>
      <c r="F56" s="1">
        <v>0</v>
      </c>
      <c r="G56" s="1">
        <v>16</v>
      </c>
      <c r="H56" s="1">
        <v>15</v>
      </c>
    </row>
    <row r="57" spans="1:8" x14ac:dyDescent="0.2">
      <c r="A57" s="1">
        <v>38</v>
      </c>
      <c r="B57" s="1" t="s">
        <v>548</v>
      </c>
      <c r="C57" s="1">
        <v>930</v>
      </c>
      <c r="D57" s="1">
        <v>4000</v>
      </c>
      <c r="E57" s="1">
        <v>85</v>
      </c>
      <c r="F57" s="1">
        <v>0</v>
      </c>
      <c r="G57" s="1">
        <v>14.5</v>
      </c>
      <c r="H57" s="1">
        <v>15</v>
      </c>
    </row>
    <row r="58" spans="1:8" x14ac:dyDescent="0.2">
      <c r="A58" s="1">
        <v>39</v>
      </c>
      <c r="B58" s="1" t="s">
        <v>548</v>
      </c>
      <c r="C58" s="1">
        <v>391</v>
      </c>
      <c r="D58" s="1">
        <v>4000</v>
      </c>
      <c r="E58" s="1">
        <v>85</v>
      </c>
      <c r="F58" s="1">
        <v>0</v>
      </c>
      <c r="G58" s="1">
        <v>10</v>
      </c>
      <c r="H58" s="1">
        <v>15</v>
      </c>
    </row>
    <row r="59" spans="1:8" x14ac:dyDescent="0.2">
      <c r="A59" s="1">
        <v>40</v>
      </c>
      <c r="B59" s="1" t="s">
        <v>548</v>
      </c>
      <c r="C59" s="1">
        <v>652</v>
      </c>
      <c r="D59" s="1">
        <v>4000</v>
      </c>
      <c r="E59" s="1">
        <v>85</v>
      </c>
      <c r="F59" s="1">
        <v>0</v>
      </c>
      <c r="G59" s="1">
        <v>10</v>
      </c>
      <c r="H59" s="1">
        <v>15</v>
      </c>
    </row>
    <row r="60" spans="1:8" x14ac:dyDescent="0.2">
      <c r="A60" s="1">
        <v>41</v>
      </c>
      <c r="B60" s="1" t="s">
        <v>548</v>
      </c>
      <c r="C60" s="1">
        <v>669</v>
      </c>
      <c r="D60" s="1">
        <v>4000</v>
      </c>
      <c r="E60" s="1">
        <v>85</v>
      </c>
      <c r="F60" s="1">
        <v>0</v>
      </c>
      <c r="G60" s="1">
        <v>10</v>
      </c>
      <c r="H60" s="1">
        <v>15</v>
      </c>
    </row>
    <row r="61" spans="1:8" x14ac:dyDescent="0.2">
      <c r="A61" s="1">
        <v>42</v>
      </c>
      <c r="B61" s="1" t="s">
        <v>548</v>
      </c>
      <c r="C61" s="1">
        <v>779</v>
      </c>
      <c r="D61" s="1">
        <v>4000</v>
      </c>
      <c r="E61" s="1">
        <v>85</v>
      </c>
      <c r="F61" s="1">
        <v>0</v>
      </c>
      <c r="G61" s="1">
        <v>10</v>
      </c>
      <c r="H61" s="1">
        <v>17</v>
      </c>
    </row>
    <row r="62" spans="1:8" x14ac:dyDescent="0.2">
      <c r="A62" s="1">
        <v>43</v>
      </c>
      <c r="B62" s="1" t="s">
        <v>548</v>
      </c>
      <c r="C62" s="1">
        <v>1098</v>
      </c>
      <c r="D62" s="1">
        <v>4000</v>
      </c>
      <c r="E62" s="1">
        <v>85</v>
      </c>
      <c r="F62" s="1">
        <v>0</v>
      </c>
      <c r="G62" s="1">
        <v>10</v>
      </c>
      <c r="H62" s="1">
        <v>15</v>
      </c>
    </row>
    <row r="63" spans="1:8" x14ac:dyDescent="0.2">
      <c r="A63" s="1">
        <v>44</v>
      </c>
      <c r="B63" s="1" t="s">
        <v>548</v>
      </c>
      <c r="C63" s="1">
        <v>402</v>
      </c>
      <c r="D63" s="1">
        <v>4000</v>
      </c>
      <c r="E63" s="1">
        <v>85</v>
      </c>
      <c r="F63" s="1">
        <v>0</v>
      </c>
      <c r="G63" s="1">
        <v>10</v>
      </c>
      <c r="H63" s="1">
        <v>16</v>
      </c>
    </row>
    <row r="64" spans="1:8" x14ac:dyDescent="0.2">
      <c r="A64" s="1">
        <v>45</v>
      </c>
      <c r="B64" s="1" t="s">
        <v>548</v>
      </c>
      <c r="C64" s="1">
        <v>406</v>
      </c>
      <c r="D64" s="1">
        <v>4000</v>
      </c>
      <c r="E64" s="1">
        <v>85</v>
      </c>
      <c r="F64" s="1">
        <v>0</v>
      </c>
      <c r="G64" s="1">
        <v>10</v>
      </c>
      <c r="H64" s="1">
        <v>15</v>
      </c>
    </row>
    <row r="65" spans="1:8" x14ac:dyDescent="0.2">
      <c r="A65" s="1">
        <v>46</v>
      </c>
      <c r="B65" s="1" t="s">
        <v>548</v>
      </c>
      <c r="C65" s="1">
        <v>757</v>
      </c>
      <c r="D65" s="1">
        <v>4000</v>
      </c>
      <c r="E65" s="1">
        <v>85</v>
      </c>
      <c r="F65" s="1">
        <v>0</v>
      </c>
      <c r="G65" s="1">
        <v>10</v>
      </c>
      <c r="H65" s="1">
        <v>15</v>
      </c>
    </row>
    <row r="66" spans="1:8" x14ac:dyDescent="0.2">
      <c r="A66" s="1">
        <v>47</v>
      </c>
      <c r="B66" s="1" t="s">
        <v>548</v>
      </c>
      <c r="C66" s="1">
        <v>471</v>
      </c>
      <c r="D66" s="1">
        <v>4000</v>
      </c>
      <c r="E66" s="1">
        <v>85</v>
      </c>
      <c r="F66" s="1">
        <v>0</v>
      </c>
      <c r="G66" s="1">
        <v>15</v>
      </c>
      <c r="H66" s="1">
        <v>15</v>
      </c>
    </row>
    <row r="67" spans="1:8" x14ac:dyDescent="0.2">
      <c r="A67" s="1">
        <v>48</v>
      </c>
      <c r="B67" s="1" t="s">
        <v>548</v>
      </c>
      <c r="C67" s="1">
        <v>67</v>
      </c>
      <c r="D67" s="1">
        <v>4000</v>
      </c>
      <c r="E67" s="1">
        <v>100</v>
      </c>
      <c r="F67" s="1">
        <v>0</v>
      </c>
      <c r="G67" s="1">
        <v>18</v>
      </c>
      <c r="H67" s="1">
        <v>15</v>
      </c>
    </row>
    <row r="68" spans="1:8" x14ac:dyDescent="0.2">
      <c r="A68" s="1">
        <v>49</v>
      </c>
      <c r="B68" s="1" t="s">
        <v>548</v>
      </c>
      <c r="C68" s="1">
        <v>1013</v>
      </c>
      <c r="D68" s="1">
        <v>4000</v>
      </c>
      <c r="E68" s="1">
        <v>10</v>
      </c>
      <c r="F68" s="1">
        <v>0</v>
      </c>
      <c r="G68" s="1">
        <v>10</v>
      </c>
      <c r="H68" s="1">
        <v>15</v>
      </c>
    </row>
    <row r="69" spans="1:8" x14ac:dyDescent="0.2">
      <c r="A69" s="1">
        <v>50</v>
      </c>
      <c r="B69" s="1" t="s">
        <v>716</v>
      </c>
      <c r="C69" s="1">
        <v>396</v>
      </c>
      <c r="D69" s="1">
        <v>4000</v>
      </c>
      <c r="E69" s="1">
        <v>10</v>
      </c>
      <c r="F69" s="1">
        <v>0</v>
      </c>
      <c r="G69" s="1">
        <v>10</v>
      </c>
      <c r="H69" s="1">
        <v>15</v>
      </c>
    </row>
    <row r="70" spans="1:8" x14ac:dyDescent="0.2">
      <c r="A70" s="1">
        <v>51</v>
      </c>
      <c r="B70" s="11">
        <v>45624</v>
      </c>
      <c r="C70" s="1">
        <v>819</v>
      </c>
      <c r="D70" s="1">
        <v>4000</v>
      </c>
      <c r="E70" s="1">
        <v>10</v>
      </c>
      <c r="F70" s="1">
        <v>0</v>
      </c>
      <c r="G70" s="1">
        <v>10</v>
      </c>
      <c r="H70" s="1">
        <v>15</v>
      </c>
    </row>
    <row r="71" spans="1:8" ht="15" customHeight="1" x14ac:dyDescent="0.2">
      <c r="A71" s="1">
        <v>52</v>
      </c>
      <c r="B71" s="11">
        <v>45624</v>
      </c>
      <c r="C71" s="1">
        <v>815</v>
      </c>
      <c r="D71" s="1">
        <v>4000</v>
      </c>
      <c r="E71" s="1">
        <v>10</v>
      </c>
      <c r="F71" s="1">
        <v>0</v>
      </c>
      <c r="G71" s="1">
        <v>10</v>
      </c>
      <c r="H71" s="1">
        <v>16</v>
      </c>
    </row>
    <row r="72" spans="1:8" ht="15" customHeight="1" x14ac:dyDescent="0.2">
      <c r="A72" s="1">
        <v>53</v>
      </c>
      <c r="B72" s="11">
        <v>45624</v>
      </c>
      <c r="C72" s="1">
        <v>691</v>
      </c>
      <c r="D72" s="1">
        <v>4000</v>
      </c>
      <c r="E72" s="1">
        <v>10</v>
      </c>
      <c r="F72" s="1">
        <v>0</v>
      </c>
      <c r="G72" s="1">
        <v>10</v>
      </c>
      <c r="H72" s="1">
        <v>15</v>
      </c>
    </row>
    <row r="73" spans="1:8" ht="15" customHeight="1" x14ac:dyDescent="0.2">
      <c r="A73" s="1">
        <v>54</v>
      </c>
      <c r="B73" s="11">
        <v>45624</v>
      </c>
      <c r="C73" s="1">
        <v>680</v>
      </c>
      <c r="D73" s="1">
        <v>4000</v>
      </c>
      <c r="E73" s="1">
        <v>10</v>
      </c>
      <c r="F73" s="1">
        <v>0</v>
      </c>
      <c r="G73" s="1">
        <v>10</v>
      </c>
      <c r="H73" s="1">
        <v>15</v>
      </c>
    </row>
    <row r="74" spans="1:8" ht="15" customHeight="1" x14ac:dyDescent="0.2">
      <c r="A74" s="1">
        <v>55</v>
      </c>
      <c r="B74" s="11">
        <v>45624</v>
      </c>
      <c r="C74" s="1">
        <v>399</v>
      </c>
      <c r="D74" s="1">
        <v>4000</v>
      </c>
      <c r="E74" s="1">
        <v>10</v>
      </c>
      <c r="F74" s="1">
        <v>0</v>
      </c>
      <c r="G74" s="1">
        <v>10</v>
      </c>
      <c r="H74" s="1">
        <v>15</v>
      </c>
    </row>
    <row r="75" spans="1:8" ht="15" customHeight="1" x14ac:dyDescent="0.2"/>
    <row r="76" spans="1:8" ht="15" customHeight="1" x14ac:dyDescent="0.2"/>
    <row r="77" spans="1:8" ht="15" customHeight="1" x14ac:dyDescent="0.2"/>
    <row r="78" spans="1:8" ht="15" customHeight="1" x14ac:dyDescent="0.2"/>
    <row r="83" spans="1:8" ht="16" x14ac:dyDescent="0.2">
      <c r="A83" s="15" t="s">
        <v>550</v>
      </c>
      <c r="B83" s="15"/>
      <c r="C83" s="15"/>
      <c r="D83" s="15"/>
      <c r="E83" s="15"/>
      <c r="F83" s="15"/>
      <c r="G83" s="15"/>
      <c r="H83" s="15"/>
    </row>
    <row r="84" spans="1:8" x14ac:dyDescent="0.2">
      <c r="A84" s="21" t="s">
        <v>551</v>
      </c>
      <c r="B84" s="21"/>
      <c r="C84" s="21"/>
      <c r="D84" s="21"/>
      <c r="E84" s="21"/>
      <c r="F84" s="21"/>
      <c r="G84" s="21"/>
      <c r="H84" s="21"/>
    </row>
    <row r="85" spans="1:8" x14ac:dyDescent="0.2">
      <c r="A85" s="21" t="s">
        <v>552</v>
      </c>
      <c r="B85" s="21"/>
      <c r="C85" s="21"/>
      <c r="D85" s="21"/>
      <c r="E85" s="21"/>
      <c r="F85" s="21"/>
      <c r="G85" s="21"/>
      <c r="H85" s="21"/>
    </row>
    <row r="86" spans="1:8" x14ac:dyDescent="0.2">
      <c r="A86" s="21" t="s">
        <v>553</v>
      </c>
      <c r="B86" s="21"/>
      <c r="C86" s="21"/>
      <c r="D86" s="21"/>
      <c r="E86" s="21"/>
      <c r="F86" s="21"/>
      <c r="G86" s="21"/>
      <c r="H86" s="21"/>
    </row>
    <row r="87" spans="1:8" x14ac:dyDescent="0.2">
      <c r="A87" s="21" t="s">
        <v>554</v>
      </c>
      <c r="B87" s="21"/>
      <c r="C87" s="21"/>
      <c r="D87" s="21"/>
      <c r="E87" s="21"/>
      <c r="F87" s="21"/>
      <c r="G87" s="21"/>
      <c r="H87" s="21"/>
    </row>
    <row r="88" spans="1:8" x14ac:dyDescent="0.2">
      <c r="A88" s="21" t="s">
        <v>555</v>
      </c>
      <c r="B88" s="21"/>
      <c r="C88" s="21"/>
      <c r="D88" s="21"/>
      <c r="E88" s="21"/>
      <c r="F88" s="21"/>
      <c r="G88" s="21"/>
      <c r="H88" s="21"/>
    </row>
    <row r="89" spans="1:8" x14ac:dyDescent="0.2">
      <c r="A89" s="21" t="s">
        <v>556</v>
      </c>
      <c r="B89" s="21"/>
      <c r="C89" s="21"/>
      <c r="D89" s="21"/>
      <c r="E89" s="21"/>
      <c r="F89" s="21"/>
      <c r="G89" s="21"/>
      <c r="H89" s="21"/>
    </row>
    <row r="90" spans="1:8" x14ac:dyDescent="0.2">
      <c r="A90" s="21" t="s">
        <v>557</v>
      </c>
      <c r="B90" s="21"/>
      <c r="C90" s="21"/>
      <c r="D90" s="21"/>
      <c r="E90" s="21"/>
      <c r="F90" s="21"/>
      <c r="G90" s="21"/>
      <c r="H90" s="21"/>
    </row>
  </sheetData>
  <mergeCells count="35">
    <mergeCell ref="A90:H90"/>
    <mergeCell ref="A85:H85"/>
    <mergeCell ref="A86:H86"/>
    <mergeCell ref="A87:H87"/>
    <mergeCell ref="A88:H88"/>
    <mergeCell ref="A89:H89"/>
    <mergeCell ref="A15:C15"/>
    <mergeCell ref="D15:H15"/>
    <mergeCell ref="A18:H18"/>
    <mergeCell ref="A83:H83"/>
    <mergeCell ref="A84:H84"/>
    <mergeCell ref="A12:C12"/>
    <mergeCell ref="D12:H12"/>
    <mergeCell ref="A13:C13"/>
    <mergeCell ref="D13:H13"/>
    <mergeCell ref="A14:C14"/>
    <mergeCell ref="D14:H14"/>
    <mergeCell ref="A9:C9"/>
    <mergeCell ref="D9:H9"/>
    <mergeCell ref="A10:C10"/>
    <mergeCell ref="D10:H10"/>
    <mergeCell ref="A11:C11"/>
    <mergeCell ref="D11:H11"/>
    <mergeCell ref="A6:C6"/>
    <mergeCell ref="D6:H6"/>
    <mergeCell ref="A7:C7"/>
    <mergeCell ref="D7:H7"/>
    <mergeCell ref="A8:C8"/>
    <mergeCell ref="D8:H8"/>
    <mergeCell ref="A1:H1"/>
    <mergeCell ref="A3:H3"/>
    <mergeCell ref="A4:C4"/>
    <mergeCell ref="D4:H4"/>
    <mergeCell ref="A5:C5"/>
    <mergeCell ref="D5:H5"/>
  </mergeCells>
  <phoneticPr fontId="12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72"/>
  <sheetViews>
    <sheetView showGridLines="0" zoomScale="110" zoomScaleNormal="110" workbookViewId="0">
      <pane ySplit="2" topLeftCell="A3" activePane="bottomLeft" state="frozen"/>
      <selection pane="bottomLeft" activeCell="M74" sqref="M74"/>
    </sheetView>
  </sheetViews>
  <sheetFormatPr baseColWidth="10" defaultColWidth="8.6640625" defaultRowHeight="15" x14ac:dyDescent="0.2"/>
  <cols>
    <col min="1" max="1" width="8" customWidth="1"/>
    <col min="2" max="2" width="60" customWidth="1"/>
    <col min="3" max="6" width="14" customWidth="1"/>
    <col min="7" max="8" width="16" customWidth="1"/>
    <col min="9" max="9" width="12" customWidth="1"/>
  </cols>
  <sheetData>
    <row r="1" spans="1:9" ht="27.75" customHeight="1" x14ac:dyDescent="0.2">
      <c r="A1" s="14" t="s">
        <v>558</v>
      </c>
      <c r="B1" s="14"/>
      <c r="C1" s="14"/>
      <c r="D1" s="14"/>
      <c r="E1" s="14"/>
      <c r="F1" s="14"/>
      <c r="G1" s="14"/>
      <c r="H1" s="14"/>
      <c r="I1" s="14"/>
    </row>
    <row r="3" spans="1:9" ht="15" customHeight="1" x14ac:dyDescent="0.2">
      <c r="A3" s="15" t="s">
        <v>559</v>
      </c>
      <c r="B3" s="15"/>
      <c r="C3" s="15"/>
      <c r="D3" s="15"/>
      <c r="E3" s="15"/>
      <c r="F3" s="15"/>
      <c r="G3" s="15"/>
      <c r="H3" s="15"/>
      <c r="I3" s="15"/>
    </row>
    <row r="4" spans="1:9" ht="15" customHeight="1" x14ac:dyDescent="0.2">
      <c r="A4" s="18" t="s">
        <v>225</v>
      </c>
      <c r="B4" s="18"/>
      <c r="C4" s="18"/>
      <c r="D4" s="16" t="s">
        <v>560</v>
      </c>
      <c r="E4" s="16"/>
      <c r="F4" s="16"/>
      <c r="G4" s="16"/>
      <c r="H4" s="16"/>
      <c r="I4" s="16"/>
    </row>
    <row r="5" spans="1:9" ht="15" customHeight="1" x14ac:dyDescent="0.2">
      <c r="A5" s="18" t="s">
        <v>561</v>
      </c>
      <c r="B5" s="18"/>
      <c r="C5" s="18"/>
      <c r="D5" s="16" t="s">
        <v>562</v>
      </c>
      <c r="E5" s="16"/>
      <c r="F5" s="16"/>
      <c r="G5" s="16"/>
      <c r="H5" s="16"/>
      <c r="I5" s="16"/>
    </row>
    <row r="6" spans="1:9" ht="15" customHeight="1" x14ac:dyDescent="0.2">
      <c r="A6" s="18" t="s">
        <v>563</v>
      </c>
      <c r="B6" s="18"/>
      <c r="C6" s="18"/>
      <c r="D6" s="16" t="s">
        <v>564</v>
      </c>
      <c r="E6" s="16"/>
      <c r="F6" s="16"/>
      <c r="G6" s="16"/>
      <c r="H6" s="16"/>
      <c r="I6" s="16"/>
    </row>
    <row r="7" spans="1:9" ht="15" customHeight="1" x14ac:dyDescent="0.2">
      <c r="A7" s="18" t="s">
        <v>565</v>
      </c>
      <c r="B7" s="18"/>
      <c r="C7" s="18"/>
      <c r="D7" s="16" t="s">
        <v>566</v>
      </c>
      <c r="E7" s="16"/>
      <c r="F7" s="16"/>
      <c r="G7" s="16"/>
      <c r="H7" s="16"/>
      <c r="I7" s="16"/>
    </row>
    <row r="8" spans="1:9" ht="15" customHeight="1" x14ac:dyDescent="0.2">
      <c r="A8" s="18" t="s">
        <v>567</v>
      </c>
      <c r="B8" s="18"/>
      <c r="C8" s="18"/>
      <c r="D8" s="16" t="s">
        <v>568</v>
      </c>
      <c r="E8" s="16"/>
      <c r="F8" s="16"/>
      <c r="G8" s="16"/>
      <c r="H8" s="16"/>
      <c r="I8" s="16"/>
    </row>
    <row r="9" spans="1:9" ht="15" customHeight="1" x14ac:dyDescent="0.2">
      <c r="A9" s="18" t="s">
        <v>569</v>
      </c>
      <c r="B9" s="18"/>
      <c r="C9" s="18"/>
      <c r="D9" s="16" t="s">
        <v>570</v>
      </c>
      <c r="E9" s="16"/>
      <c r="F9" s="16"/>
      <c r="G9" s="16"/>
      <c r="H9" s="16"/>
      <c r="I9" s="16"/>
    </row>
    <row r="10" spans="1:9" ht="15" customHeight="1" x14ac:dyDescent="0.2">
      <c r="A10" s="18" t="s">
        <v>571</v>
      </c>
      <c r="B10" s="18"/>
      <c r="C10" s="18"/>
      <c r="D10" s="16" t="s">
        <v>572</v>
      </c>
      <c r="E10" s="16"/>
      <c r="F10" s="16"/>
      <c r="G10" s="16"/>
      <c r="H10" s="16"/>
      <c r="I10" s="16"/>
    </row>
    <row r="11" spans="1:9" ht="15" customHeight="1" x14ac:dyDescent="0.2">
      <c r="A11" s="18" t="s">
        <v>573</v>
      </c>
      <c r="B11" s="18"/>
      <c r="C11" s="18"/>
      <c r="D11" s="16" t="s">
        <v>574</v>
      </c>
      <c r="E11" s="16"/>
      <c r="F11" s="16"/>
      <c r="G11" s="16"/>
      <c r="H11" s="16"/>
      <c r="I11" s="16"/>
    </row>
    <row r="12" spans="1:9" ht="15" customHeight="1" x14ac:dyDescent="0.2">
      <c r="A12" s="18" t="s">
        <v>575</v>
      </c>
      <c r="B12" s="18"/>
      <c r="C12" s="18"/>
      <c r="D12" s="16" t="s">
        <v>576</v>
      </c>
      <c r="E12" s="16"/>
      <c r="F12" s="16"/>
      <c r="G12" s="16"/>
      <c r="H12" s="16"/>
      <c r="I12" s="16"/>
    </row>
    <row r="15" spans="1:9" ht="15" customHeight="1" x14ac:dyDescent="0.2">
      <c r="A15" s="15" t="s">
        <v>577</v>
      </c>
      <c r="B15" s="15"/>
      <c r="C15" s="15"/>
      <c r="D15" s="15"/>
      <c r="E15" s="15"/>
      <c r="F15" s="15"/>
      <c r="G15" s="15"/>
      <c r="H15" s="15"/>
      <c r="I15" s="15"/>
    </row>
    <row r="16" spans="1:9" ht="39.75" customHeight="1" x14ac:dyDescent="0.2">
      <c r="A16" s="3" t="s">
        <v>578</v>
      </c>
      <c r="B16" s="3" t="s">
        <v>579</v>
      </c>
      <c r="C16" s="3" t="s">
        <v>580</v>
      </c>
      <c r="D16" s="3" t="s">
        <v>581</v>
      </c>
      <c r="E16" s="3" t="s">
        <v>582</v>
      </c>
      <c r="F16" s="3" t="s">
        <v>583</v>
      </c>
      <c r="G16" s="3" t="s">
        <v>584</v>
      </c>
      <c r="H16" s="3" t="s">
        <v>585</v>
      </c>
      <c r="I16" s="3" t="s">
        <v>586</v>
      </c>
    </row>
    <row r="17" spans="1:9" x14ac:dyDescent="0.2">
      <c r="A17" s="1">
        <v>1</v>
      </c>
      <c r="B17" s="4" t="s">
        <v>587</v>
      </c>
      <c r="C17" s="1">
        <v>9</v>
      </c>
      <c r="D17" s="1" t="s">
        <v>588</v>
      </c>
      <c r="E17" s="1" t="s">
        <v>589</v>
      </c>
      <c r="F17" s="1" t="s">
        <v>590</v>
      </c>
      <c r="G17" s="1">
        <v>37.5</v>
      </c>
      <c r="H17" s="1">
        <v>47.2</v>
      </c>
      <c r="I17" s="10" t="s">
        <v>591</v>
      </c>
    </row>
    <row r="18" spans="1:9" ht="28" x14ac:dyDescent="0.2">
      <c r="A18" s="1">
        <v>2</v>
      </c>
      <c r="B18" s="4" t="s">
        <v>592</v>
      </c>
      <c r="C18" s="1">
        <v>23</v>
      </c>
      <c r="D18" s="1" t="s">
        <v>593</v>
      </c>
      <c r="E18" s="1" t="s">
        <v>594</v>
      </c>
      <c r="F18" s="1" t="s">
        <v>595</v>
      </c>
      <c r="G18" s="1">
        <v>36.1</v>
      </c>
      <c r="H18" s="1">
        <v>44.7</v>
      </c>
      <c r="I18" s="10" t="s">
        <v>591</v>
      </c>
    </row>
    <row r="19" spans="1:9" x14ac:dyDescent="0.2">
      <c r="A19" s="1">
        <v>3</v>
      </c>
      <c r="B19" s="4" t="s">
        <v>596</v>
      </c>
      <c r="C19" s="1">
        <v>1</v>
      </c>
      <c r="D19" s="1" t="s">
        <v>597</v>
      </c>
      <c r="E19" s="1" t="s">
        <v>598</v>
      </c>
      <c r="F19" s="1" t="s">
        <v>599</v>
      </c>
      <c r="G19" s="1">
        <v>40.700000000000003</v>
      </c>
      <c r="H19" s="1">
        <v>48</v>
      </c>
      <c r="I19" s="10" t="s">
        <v>591</v>
      </c>
    </row>
    <row r="20" spans="1:9" ht="42" x14ac:dyDescent="0.2">
      <c r="A20" s="1">
        <v>4</v>
      </c>
      <c r="B20" s="4" t="s">
        <v>600</v>
      </c>
      <c r="C20" s="1">
        <v>39</v>
      </c>
      <c r="D20" s="1" t="s">
        <v>601</v>
      </c>
      <c r="E20" s="1" t="s">
        <v>602</v>
      </c>
      <c r="F20" s="1" t="s">
        <v>603</v>
      </c>
      <c r="G20" s="1">
        <v>33.1</v>
      </c>
      <c r="H20" s="1">
        <v>46.4</v>
      </c>
      <c r="I20" s="10" t="s">
        <v>591</v>
      </c>
    </row>
    <row r="21" spans="1:9" ht="28" x14ac:dyDescent="0.2">
      <c r="A21" s="1">
        <v>5</v>
      </c>
      <c r="B21" s="4" t="s">
        <v>604</v>
      </c>
      <c r="C21" s="1">
        <v>14</v>
      </c>
      <c r="D21" s="1" t="s">
        <v>589</v>
      </c>
      <c r="E21" s="1" t="s">
        <v>605</v>
      </c>
      <c r="F21" s="1" t="s">
        <v>606</v>
      </c>
      <c r="G21" s="1">
        <v>38.9</v>
      </c>
      <c r="H21" s="1">
        <v>47.8</v>
      </c>
      <c r="I21" s="10" t="s">
        <v>591</v>
      </c>
    </row>
    <row r="22" spans="1:9" ht="42" x14ac:dyDescent="0.2">
      <c r="A22" s="1">
        <v>6</v>
      </c>
      <c r="B22" s="4" t="s">
        <v>607</v>
      </c>
      <c r="C22" s="1">
        <v>34</v>
      </c>
      <c r="D22" s="1" t="s">
        <v>594</v>
      </c>
      <c r="E22" s="1" t="s">
        <v>608</v>
      </c>
      <c r="F22" s="1" t="s">
        <v>609</v>
      </c>
      <c r="G22" s="1">
        <v>38.6</v>
      </c>
      <c r="H22" s="1">
        <v>47.9</v>
      </c>
      <c r="I22" s="10" t="s">
        <v>591</v>
      </c>
    </row>
    <row r="23" spans="1:9" ht="28" x14ac:dyDescent="0.2">
      <c r="A23" s="1">
        <v>7</v>
      </c>
      <c r="B23" s="4" t="s">
        <v>610</v>
      </c>
      <c r="C23" s="1">
        <v>21</v>
      </c>
      <c r="D23" s="1" t="s">
        <v>598</v>
      </c>
      <c r="E23" s="1" t="s">
        <v>611</v>
      </c>
      <c r="F23" s="1" t="s">
        <v>612</v>
      </c>
      <c r="G23" s="1">
        <v>39.200000000000003</v>
      </c>
      <c r="H23" s="1">
        <v>45.3</v>
      </c>
      <c r="I23" s="10" t="s">
        <v>591</v>
      </c>
    </row>
    <row r="24" spans="1:9" ht="28" x14ac:dyDescent="0.2">
      <c r="A24" s="1">
        <v>8</v>
      </c>
      <c r="B24" s="4" t="s">
        <v>613</v>
      </c>
      <c r="C24" s="1">
        <v>22</v>
      </c>
      <c r="D24" s="1" t="s">
        <v>602</v>
      </c>
      <c r="E24" s="1" t="s">
        <v>614</v>
      </c>
      <c r="F24" s="1" t="s">
        <v>615</v>
      </c>
      <c r="G24" s="1">
        <v>28.9</v>
      </c>
      <c r="H24" s="1">
        <v>48.6</v>
      </c>
      <c r="I24" s="10" t="s">
        <v>591</v>
      </c>
    </row>
    <row r="25" spans="1:9" ht="56" x14ac:dyDescent="0.2">
      <c r="A25" s="1">
        <v>9</v>
      </c>
      <c r="B25" s="4" t="s">
        <v>616</v>
      </c>
      <c r="C25" s="1">
        <v>52</v>
      </c>
      <c r="D25" s="1" t="s">
        <v>617</v>
      </c>
      <c r="E25" s="1" t="s">
        <v>618</v>
      </c>
      <c r="F25" s="1" t="s">
        <v>619</v>
      </c>
      <c r="G25" s="1">
        <v>37.6</v>
      </c>
      <c r="H25" s="1">
        <v>47.2</v>
      </c>
      <c r="I25" s="10" t="s">
        <v>591</v>
      </c>
    </row>
    <row r="26" spans="1:9" x14ac:dyDescent="0.2">
      <c r="A26" s="1">
        <v>10</v>
      </c>
      <c r="B26" s="4" t="s">
        <v>620</v>
      </c>
      <c r="C26" s="1">
        <v>8</v>
      </c>
      <c r="D26" s="1" t="s">
        <v>605</v>
      </c>
      <c r="E26" s="1" t="s">
        <v>621</v>
      </c>
      <c r="F26" s="1" t="s">
        <v>622</v>
      </c>
      <c r="G26" s="1">
        <v>38.4</v>
      </c>
      <c r="H26" s="1">
        <v>46.4</v>
      </c>
      <c r="I26" s="10" t="s">
        <v>591</v>
      </c>
    </row>
    <row r="27" spans="1:9" ht="42" x14ac:dyDescent="0.2">
      <c r="A27" s="1">
        <v>11</v>
      </c>
      <c r="B27" s="4" t="s">
        <v>623</v>
      </c>
      <c r="C27" s="1">
        <v>32</v>
      </c>
      <c r="D27" s="1" t="s">
        <v>608</v>
      </c>
      <c r="E27" s="1" t="s">
        <v>624</v>
      </c>
      <c r="F27" s="1" t="s">
        <v>625</v>
      </c>
      <c r="G27" s="1">
        <v>36.5</v>
      </c>
      <c r="H27" s="1">
        <v>47</v>
      </c>
      <c r="I27" s="10" t="s">
        <v>591</v>
      </c>
    </row>
    <row r="28" spans="1:9" x14ac:dyDescent="0.2">
      <c r="A28" s="1">
        <v>12</v>
      </c>
      <c r="B28" s="4" t="s">
        <v>626</v>
      </c>
      <c r="C28" s="1">
        <v>7</v>
      </c>
      <c r="D28" s="1" t="s">
        <v>611</v>
      </c>
      <c r="E28" s="1" t="s">
        <v>627</v>
      </c>
      <c r="F28" s="1" t="s">
        <v>628</v>
      </c>
      <c r="G28" s="1">
        <v>27.8</v>
      </c>
      <c r="H28" s="1">
        <v>45.9</v>
      </c>
      <c r="I28" s="10" t="s">
        <v>591</v>
      </c>
    </row>
    <row r="29" spans="1:9" ht="28" x14ac:dyDescent="0.2">
      <c r="A29" s="1">
        <v>13</v>
      </c>
      <c r="B29" s="4" t="s">
        <v>629</v>
      </c>
      <c r="C29" s="1">
        <v>22</v>
      </c>
      <c r="D29" s="1" t="s">
        <v>614</v>
      </c>
      <c r="E29" s="1" t="s">
        <v>630</v>
      </c>
      <c r="F29" s="1" t="s">
        <v>631</v>
      </c>
      <c r="G29" s="1">
        <v>27.7</v>
      </c>
      <c r="H29" s="1">
        <v>42.2</v>
      </c>
      <c r="I29" s="10" t="s">
        <v>591</v>
      </c>
    </row>
    <row r="30" spans="1:9" ht="42" x14ac:dyDescent="0.2">
      <c r="A30" s="1">
        <v>14</v>
      </c>
      <c r="B30" s="4" t="s">
        <v>632</v>
      </c>
      <c r="C30" s="1">
        <v>37</v>
      </c>
      <c r="D30" s="1" t="s">
        <v>618</v>
      </c>
      <c r="E30" s="1" t="s">
        <v>633</v>
      </c>
      <c r="F30" s="1" t="s">
        <v>634</v>
      </c>
      <c r="G30" s="1">
        <v>26.7</v>
      </c>
      <c r="H30" s="1">
        <v>47.2</v>
      </c>
      <c r="I30" s="10" t="s">
        <v>591</v>
      </c>
    </row>
    <row r="31" spans="1:9" ht="42" x14ac:dyDescent="0.2">
      <c r="A31" s="1">
        <v>15</v>
      </c>
      <c r="B31" s="4" t="s">
        <v>635</v>
      </c>
      <c r="C31" s="1">
        <v>33</v>
      </c>
      <c r="D31" s="1" t="s">
        <v>636</v>
      </c>
      <c r="E31" s="1" t="s">
        <v>637</v>
      </c>
      <c r="F31" s="1" t="s">
        <v>638</v>
      </c>
      <c r="G31" s="1">
        <v>27.7</v>
      </c>
      <c r="H31" s="1">
        <v>46.3</v>
      </c>
      <c r="I31" s="10" t="s">
        <v>591</v>
      </c>
    </row>
    <row r="32" spans="1:9" ht="28" x14ac:dyDescent="0.2">
      <c r="A32" s="1">
        <v>16</v>
      </c>
      <c r="B32" s="4" t="s">
        <v>639</v>
      </c>
      <c r="C32" s="1">
        <v>33</v>
      </c>
      <c r="D32" s="1" t="s">
        <v>621</v>
      </c>
      <c r="E32" s="1" t="s">
        <v>590</v>
      </c>
      <c r="F32" s="1" t="s">
        <v>640</v>
      </c>
      <c r="G32" s="1">
        <v>27.2</v>
      </c>
      <c r="H32" s="1">
        <v>45.8</v>
      </c>
      <c r="I32" s="10" t="s">
        <v>591</v>
      </c>
    </row>
    <row r="33" spans="1:9" ht="42" x14ac:dyDescent="0.2">
      <c r="A33" s="1">
        <v>17</v>
      </c>
      <c r="B33" s="4" t="s">
        <v>641</v>
      </c>
      <c r="C33" s="1">
        <v>41</v>
      </c>
      <c r="D33" s="1" t="s">
        <v>624</v>
      </c>
      <c r="E33" s="1" t="s">
        <v>595</v>
      </c>
      <c r="F33" s="1" t="s">
        <v>642</v>
      </c>
      <c r="G33" s="1">
        <v>29.1</v>
      </c>
      <c r="H33" s="1">
        <v>47.1</v>
      </c>
      <c r="I33" s="10" t="s">
        <v>591</v>
      </c>
    </row>
    <row r="34" spans="1:9" ht="42" x14ac:dyDescent="0.2">
      <c r="A34" s="1">
        <v>18</v>
      </c>
      <c r="B34" s="4" t="s">
        <v>643</v>
      </c>
      <c r="C34" s="1">
        <v>36</v>
      </c>
      <c r="D34" s="1" t="s">
        <v>627</v>
      </c>
      <c r="E34" s="1" t="s">
        <v>599</v>
      </c>
      <c r="F34" s="1" t="s">
        <v>644</v>
      </c>
      <c r="G34" s="1">
        <v>41.5</v>
      </c>
      <c r="H34" s="1">
        <v>45.8</v>
      </c>
      <c r="I34" s="10" t="s">
        <v>591</v>
      </c>
    </row>
    <row r="35" spans="1:9" ht="28" x14ac:dyDescent="0.2">
      <c r="A35" s="1">
        <v>19</v>
      </c>
      <c r="B35" s="4" t="s">
        <v>645</v>
      </c>
      <c r="C35" s="1">
        <v>25</v>
      </c>
      <c r="D35" s="1" t="s">
        <v>630</v>
      </c>
      <c r="E35" s="1" t="s">
        <v>603</v>
      </c>
      <c r="F35" s="1" t="s">
        <v>646</v>
      </c>
      <c r="G35" s="1">
        <v>37.700000000000003</v>
      </c>
      <c r="H35" s="1">
        <v>40.700000000000003</v>
      </c>
      <c r="I35" s="10" t="s">
        <v>591</v>
      </c>
    </row>
    <row r="36" spans="1:9" ht="42" x14ac:dyDescent="0.2">
      <c r="A36" s="1">
        <v>20</v>
      </c>
      <c r="B36" s="4" t="s">
        <v>647</v>
      </c>
      <c r="C36" s="1">
        <v>36</v>
      </c>
      <c r="D36" s="1" t="s">
        <v>633</v>
      </c>
      <c r="E36" s="1" t="s">
        <v>648</v>
      </c>
      <c r="F36" s="1" t="s">
        <v>649</v>
      </c>
      <c r="G36" s="1">
        <v>39.4</v>
      </c>
      <c r="H36" s="1">
        <v>45</v>
      </c>
      <c r="I36" s="10" t="s">
        <v>591</v>
      </c>
    </row>
    <row r="37" spans="1:9" ht="28" x14ac:dyDescent="0.2">
      <c r="A37" s="1">
        <v>21</v>
      </c>
      <c r="B37" s="4" t="s">
        <v>650</v>
      </c>
      <c r="C37" s="1">
        <v>17</v>
      </c>
      <c r="D37" s="1" t="s">
        <v>609</v>
      </c>
      <c r="E37" s="1" t="s">
        <v>625</v>
      </c>
      <c r="F37" s="1" t="s">
        <v>651</v>
      </c>
      <c r="G37" s="1">
        <v>30.7</v>
      </c>
      <c r="H37" s="1">
        <v>47</v>
      </c>
      <c r="I37" s="10" t="s">
        <v>591</v>
      </c>
    </row>
    <row r="38" spans="1:9" ht="28" x14ac:dyDescent="0.2">
      <c r="A38" s="1">
        <v>22</v>
      </c>
      <c r="B38" s="4" t="s">
        <v>652</v>
      </c>
      <c r="C38" s="1">
        <v>23</v>
      </c>
      <c r="D38" s="1" t="s">
        <v>615</v>
      </c>
      <c r="E38" s="1" t="s">
        <v>631</v>
      </c>
      <c r="F38" s="1" t="s">
        <v>653</v>
      </c>
      <c r="G38" s="1">
        <v>42.3</v>
      </c>
      <c r="H38" s="1">
        <v>52.5</v>
      </c>
      <c r="I38" s="10" t="s">
        <v>591</v>
      </c>
    </row>
    <row r="39" spans="1:9" ht="28" x14ac:dyDescent="0.2">
      <c r="A39" s="1">
        <v>23</v>
      </c>
      <c r="B39" s="4" t="s">
        <v>654</v>
      </c>
      <c r="C39" s="1">
        <v>26</v>
      </c>
      <c r="D39" s="1" t="s">
        <v>619</v>
      </c>
      <c r="E39" s="1" t="s">
        <v>634</v>
      </c>
      <c r="F39" s="1" t="s">
        <v>655</v>
      </c>
      <c r="G39" s="1">
        <v>37.15</v>
      </c>
      <c r="H39" s="1">
        <v>45.5</v>
      </c>
      <c r="I39" s="10" t="s">
        <v>591</v>
      </c>
    </row>
    <row r="40" spans="1:9" ht="28" x14ac:dyDescent="0.2">
      <c r="A40" s="1">
        <v>24</v>
      </c>
      <c r="B40" s="4" t="s">
        <v>656</v>
      </c>
      <c r="C40" s="1">
        <v>23</v>
      </c>
      <c r="D40" s="1" t="s">
        <v>657</v>
      </c>
      <c r="E40" s="1" t="s">
        <v>638</v>
      </c>
      <c r="F40" s="1" t="s">
        <v>658</v>
      </c>
      <c r="G40" s="1">
        <v>36.1</v>
      </c>
      <c r="H40" s="1">
        <v>45.7</v>
      </c>
      <c r="I40" s="10" t="s">
        <v>591</v>
      </c>
    </row>
    <row r="41" spans="1:9" ht="42" x14ac:dyDescent="0.2">
      <c r="A41" s="1">
        <v>25</v>
      </c>
      <c r="B41" s="4" t="s">
        <v>659</v>
      </c>
      <c r="C41" s="1">
        <v>30</v>
      </c>
      <c r="D41" s="1" t="s">
        <v>622</v>
      </c>
      <c r="E41" s="1" t="s">
        <v>640</v>
      </c>
      <c r="F41" s="1" t="s">
        <v>660</v>
      </c>
      <c r="G41" s="1">
        <v>35.4</v>
      </c>
      <c r="H41" s="1">
        <v>45.8</v>
      </c>
      <c r="I41" s="10" t="s">
        <v>591</v>
      </c>
    </row>
    <row r="42" spans="1:9" ht="42" x14ac:dyDescent="0.2">
      <c r="A42" s="1">
        <v>26</v>
      </c>
      <c r="B42" s="4" t="s">
        <v>661</v>
      </c>
      <c r="C42" s="1">
        <v>30</v>
      </c>
      <c r="D42" s="1" t="s">
        <v>625</v>
      </c>
      <c r="E42" s="1" t="s">
        <v>642</v>
      </c>
      <c r="F42" s="1" t="s">
        <v>662</v>
      </c>
      <c r="G42" s="1">
        <v>35.700000000000003</v>
      </c>
      <c r="H42" s="1">
        <v>46.2</v>
      </c>
      <c r="I42" s="10" t="s">
        <v>591</v>
      </c>
    </row>
    <row r="43" spans="1:9" ht="56" x14ac:dyDescent="0.2">
      <c r="A43" s="1">
        <v>27</v>
      </c>
      <c r="B43" s="4" t="s">
        <v>663</v>
      </c>
      <c r="C43" s="1">
        <v>51</v>
      </c>
      <c r="D43" s="1" t="s">
        <v>628</v>
      </c>
      <c r="E43" s="1" t="s">
        <v>644</v>
      </c>
      <c r="F43" s="1" t="s">
        <v>664</v>
      </c>
      <c r="G43" s="1">
        <v>34.200000000000003</v>
      </c>
      <c r="H43" s="1">
        <v>54.5</v>
      </c>
      <c r="I43" s="10" t="s">
        <v>591</v>
      </c>
    </row>
    <row r="44" spans="1:9" ht="56" x14ac:dyDescent="0.2">
      <c r="A44" s="1">
        <v>28</v>
      </c>
      <c r="B44" s="4" t="s">
        <v>665</v>
      </c>
      <c r="C44" s="1">
        <v>40</v>
      </c>
      <c r="D44" s="1" t="s">
        <v>631</v>
      </c>
      <c r="E44" s="1" t="s">
        <v>646</v>
      </c>
      <c r="F44" s="1" t="s">
        <v>666</v>
      </c>
      <c r="G44" s="1">
        <v>34.9</v>
      </c>
      <c r="H44" s="1">
        <v>51.1</v>
      </c>
      <c r="I44" s="10" t="s">
        <v>591</v>
      </c>
    </row>
    <row r="45" spans="1:9" ht="42" x14ac:dyDescent="0.2">
      <c r="A45" s="1">
        <v>29</v>
      </c>
      <c r="B45" s="4" t="s">
        <v>667</v>
      </c>
      <c r="C45" s="1">
        <v>36</v>
      </c>
      <c r="D45" s="1" t="s">
        <v>634</v>
      </c>
      <c r="E45" s="1" t="s">
        <v>649</v>
      </c>
      <c r="F45" s="1" t="s">
        <v>668</v>
      </c>
      <c r="G45" s="1">
        <v>36.299999999999997</v>
      </c>
      <c r="H45" s="1">
        <v>50.2</v>
      </c>
      <c r="I45" s="10" t="s">
        <v>591</v>
      </c>
    </row>
    <row r="46" spans="1:9" ht="28" x14ac:dyDescent="0.2">
      <c r="A46" s="1">
        <v>30</v>
      </c>
      <c r="B46" s="4" t="s">
        <v>669</v>
      </c>
      <c r="C46" s="1">
        <v>22</v>
      </c>
      <c r="D46" s="1" t="s">
        <v>638</v>
      </c>
      <c r="E46" s="1" t="s">
        <v>670</v>
      </c>
      <c r="F46" s="1" t="s">
        <v>671</v>
      </c>
      <c r="G46" s="1">
        <v>38.5</v>
      </c>
      <c r="H46" s="1">
        <v>49.9</v>
      </c>
      <c r="I46" s="10" t="s">
        <v>591</v>
      </c>
    </row>
    <row r="47" spans="1:9" ht="28" x14ac:dyDescent="0.2">
      <c r="A47" s="1">
        <v>31</v>
      </c>
      <c r="B47" s="4" t="s">
        <v>672</v>
      </c>
      <c r="C47" s="1">
        <v>23</v>
      </c>
      <c r="D47" s="1" t="s">
        <v>640</v>
      </c>
      <c r="E47" s="1" t="s">
        <v>673</v>
      </c>
      <c r="F47" s="1" t="s">
        <v>674</v>
      </c>
      <c r="G47" s="1">
        <v>33.4</v>
      </c>
      <c r="H47" s="1">
        <v>46.6</v>
      </c>
      <c r="I47" s="10" t="s">
        <v>591</v>
      </c>
    </row>
    <row r="48" spans="1:9" ht="28" x14ac:dyDescent="0.2">
      <c r="A48" s="1">
        <v>32</v>
      </c>
      <c r="B48" s="4" t="s">
        <v>675</v>
      </c>
      <c r="C48" s="1">
        <v>26</v>
      </c>
      <c r="D48" s="1" t="s">
        <v>642</v>
      </c>
      <c r="E48" s="1" t="s">
        <v>676</v>
      </c>
      <c r="F48" s="1" t="s">
        <v>677</v>
      </c>
      <c r="G48" s="1">
        <v>36.5</v>
      </c>
      <c r="H48" s="1">
        <v>43.4</v>
      </c>
      <c r="I48" s="10" t="s">
        <v>591</v>
      </c>
    </row>
    <row r="49" spans="1:9" ht="42" x14ac:dyDescent="0.2">
      <c r="A49" s="1">
        <v>33</v>
      </c>
      <c r="B49" s="4" t="s">
        <v>678</v>
      </c>
      <c r="C49" s="1">
        <v>30</v>
      </c>
      <c r="D49" s="1" t="s">
        <v>644</v>
      </c>
      <c r="E49" s="1" t="s">
        <v>679</v>
      </c>
      <c r="F49" s="1" t="s">
        <v>680</v>
      </c>
      <c r="G49" s="1">
        <v>36.200000000000003</v>
      </c>
      <c r="H49" s="1">
        <v>45</v>
      </c>
      <c r="I49" s="10" t="s">
        <v>591</v>
      </c>
    </row>
    <row r="50" spans="1:9" ht="42" x14ac:dyDescent="0.2">
      <c r="A50" s="1">
        <v>34</v>
      </c>
      <c r="B50" s="4" t="s">
        <v>681</v>
      </c>
      <c r="C50" s="1">
        <v>29</v>
      </c>
      <c r="D50" s="1" t="s">
        <v>646</v>
      </c>
      <c r="E50" s="1" t="s">
        <v>682</v>
      </c>
      <c r="F50" s="1" t="s">
        <v>683</v>
      </c>
      <c r="G50" s="1">
        <v>36.799999999999997</v>
      </c>
      <c r="H50" s="1">
        <v>45.5</v>
      </c>
      <c r="I50" s="10" t="s">
        <v>591</v>
      </c>
    </row>
    <row r="51" spans="1:9" ht="42" x14ac:dyDescent="0.2">
      <c r="A51" s="1">
        <v>35</v>
      </c>
      <c r="B51" s="4" t="s">
        <v>684</v>
      </c>
      <c r="C51" s="1">
        <v>30</v>
      </c>
      <c r="D51" s="1" t="s">
        <v>670</v>
      </c>
      <c r="E51" s="1" t="s">
        <v>685</v>
      </c>
      <c r="F51" s="1" t="s">
        <v>686</v>
      </c>
      <c r="G51" s="1">
        <v>36.700000000000003</v>
      </c>
      <c r="H51" s="1">
        <v>46.8</v>
      </c>
      <c r="I51" s="10" t="s">
        <v>591</v>
      </c>
    </row>
    <row r="52" spans="1:9" ht="42" x14ac:dyDescent="0.2">
      <c r="A52" s="1">
        <v>36</v>
      </c>
      <c r="B52" s="4" t="s">
        <v>687</v>
      </c>
      <c r="C52" s="1">
        <v>32</v>
      </c>
      <c r="D52" s="1" t="s">
        <v>673</v>
      </c>
      <c r="E52" s="1" t="s">
        <v>688</v>
      </c>
      <c r="F52" s="1" t="s">
        <v>689</v>
      </c>
      <c r="G52" s="1">
        <v>35.799999999999997</v>
      </c>
      <c r="H52" s="1">
        <v>43.9</v>
      </c>
      <c r="I52" s="10" t="s">
        <v>591</v>
      </c>
    </row>
    <row r="53" spans="1:9" ht="28" x14ac:dyDescent="0.2">
      <c r="A53" s="1">
        <v>37</v>
      </c>
      <c r="B53" s="4" t="s">
        <v>690</v>
      </c>
      <c r="C53" s="1">
        <v>22</v>
      </c>
      <c r="D53" s="1" t="s">
        <v>676</v>
      </c>
      <c r="E53" s="1" t="s">
        <v>651</v>
      </c>
      <c r="F53" s="1" t="s">
        <v>691</v>
      </c>
      <c r="G53" s="1">
        <v>37.1</v>
      </c>
      <c r="H53" s="1">
        <v>43.7</v>
      </c>
      <c r="I53" s="10" t="s">
        <v>591</v>
      </c>
    </row>
    <row r="54" spans="1:9" ht="28" x14ac:dyDescent="0.2">
      <c r="A54" s="1">
        <v>38</v>
      </c>
      <c r="B54" s="4" t="s">
        <v>692</v>
      </c>
      <c r="C54" s="1">
        <v>26</v>
      </c>
      <c r="D54" s="1" t="s">
        <v>679</v>
      </c>
      <c r="E54" s="1" t="s">
        <v>693</v>
      </c>
      <c r="F54" s="1" t="s">
        <v>694</v>
      </c>
      <c r="G54" s="1">
        <v>35.799999999999997</v>
      </c>
      <c r="H54" s="1">
        <v>45.1</v>
      </c>
      <c r="I54" s="10" t="s">
        <v>591</v>
      </c>
    </row>
    <row r="55" spans="1:9" ht="28" x14ac:dyDescent="0.2">
      <c r="A55" s="1">
        <v>39</v>
      </c>
      <c r="B55" s="4" t="s">
        <v>695</v>
      </c>
      <c r="C55" s="1">
        <v>23</v>
      </c>
      <c r="D55" s="1" t="s">
        <v>682</v>
      </c>
      <c r="E55" s="1" t="s">
        <v>653</v>
      </c>
      <c r="F55" s="1" t="s">
        <v>696</v>
      </c>
      <c r="G55" s="1">
        <v>36.799999999999997</v>
      </c>
      <c r="H55" s="1">
        <v>45.2</v>
      </c>
      <c r="I55" s="10" t="s">
        <v>591</v>
      </c>
    </row>
    <row r="56" spans="1:9" ht="28" x14ac:dyDescent="0.2">
      <c r="A56" s="1">
        <v>40</v>
      </c>
      <c r="B56" s="4" t="s">
        <v>697</v>
      </c>
      <c r="C56" s="1">
        <v>22</v>
      </c>
      <c r="D56" s="1" t="s">
        <v>698</v>
      </c>
      <c r="E56" s="1" t="s">
        <v>655</v>
      </c>
      <c r="F56" s="1" t="s">
        <v>699</v>
      </c>
      <c r="G56" s="1">
        <v>34.200000000000003</v>
      </c>
      <c r="H56" s="1">
        <v>46.7</v>
      </c>
      <c r="I56" s="10" t="s">
        <v>591</v>
      </c>
    </row>
    <row r="57" spans="1:9" x14ac:dyDescent="0.2">
      <c r="A57" s="1">
        <v>41</v>
      </c>
      <c r="B57" s="4" t="s">
        <v>700</v>
      </c>
      <c r="C57" s="1">
        <v>13</v>
      </c>
      <c r="D57" s="1" t="s">
        <v>688</v>
      </c>
      <c r="E57" s="1" t="s">
        <v>660</v>
      </c>
      <c r="F57" s="1" t="s">
        <v>701</v>
      </c>
      <c r="G57" s="1">
        <v>33.700000000000003</v>
      </c>
      <c r="H57" s="1">
        <v>46.8</v>
      </c>
      <c r="I57" s="10" t="s">
        <v>591</v>
      </c>
    </row>
    <row r="60" spans="1:9" ht="15" customHeight="1" x14ac:dyDescent="0.2">
      <c r="A60" s="15" t="s">
        <v>702</v>
      </c>
      <c r="B60" s="15"/>
      <c r="C60" s="15"/>
      <c r="D60" s="15"/>
      <c r="E60" s="15"/>
      <c r="F60" s="15"/>
      <c r="G60" s="15"/>
      <c r="H60" s="15"/>
      <c r="I60" s="15"/>
    </row>
    <row r="61" spans="1:9" ht="15" customHeight="1" x14ac:dyDescent="0.2">
      <c r="A61" s="3" t="s">
        <v>703</v>
      </c>
      <c r="B61" s="17" t="s">
        <v>704</v>
      </c>
      <c r="C61" s="17"/>
      <c r="D61" s="17"/>
      <c r="E61" s="17"/>
      <c r="F61" s="17"/>
      <c r="G61" s="17"/>
      <c r="H61" s="17"/>
      <c r="I61" s="17"/>
    </row>
    <row r="62" spans="1:9" ht="98" x14ac:dyDescent="0.2">
      <c r="A62" s="2" t="s">
        <v>705</v>
      </c>
      <c r="B62" s="33">
        <f>SUM(C17:C57)</f>
        <v>1099</v>
      </c>
      <c r="C62" s="33"/>
      <c r="D62" s="33"/>
      <c r="E62" s="33"/>
      <c r="F62" s="33"/>
      <c r="G62" s="33"/>
      <c r="H62" s="33"/>
      <c r="I62" s="33"/>
    </row>
    <row r="63" spans="1:9" ht="56" x14ac:dyDescent="0.2">
      <c r="A63" s="2" t="s">
        <v>706</v>
      </c>
      <c r="B63" s="33">
        <f>COUNTA(A17:A57)</f>
        <v>41</v>
      </c>
      <c r="C63" s="33"/>
      <c r="D63" s="33"/>
      <c r="E63" s="33"/>
      <c r="F63" s="33"/>
      <c r="G63" s="33"/>
      <c r="H63" s="33"/>
      <c r="I63" s="33"/>
    </row>
    <row r="64" spans="1:9" ht="56" x14ac:dyDescent="0.2">
      <c r="A64" s="2" t="s">
        <v>707</v>
      </c>
      <c r="B64" s="33">
        <f>AVERAGE(G17:G57)</f>
        <v>35.232926829268294</v>
      </c>
      <c r="C64" s="33"/>
      <c r="D64" s="33"/>
      <c r="E64" s="33"/>
      <c r="F64" s="33"/>
      <c r="G64" s="33"/>
      <c r="H64" s="33"/>
      <c r="I64" s="33"/>
    </row>
    <row r="65" spans="1:9" ht="56" x14ac:dyDescent="0.2">
      <c r="A65" s="2" t="s">
        <v>708</v>
      </c>
      <c r="B65" s="33">
        <f>MIN(G17:G57)</f>
        <v>26.7</v>
      </c>
      <c r="C65" s="33"/>
      <c r="D65" s="33"/>
      <c r="E65" s="33"/>
      <c r="F65" s="33"/>
      <c r="G65" s="33"/>
      <c r="H65" s="33"/>
      <c r="I65" s="33"/>
    </row>
    <row r="66" spans="1:9" ht="56" x14ac:dyDescent="0.2">
      <c r="A66" s="2" t="s">
        <v>709</v>
      </c>
      <c r="B66" s="33">
        <f>MAX(G17:G57)</f>
        <v>42.3</v>
      </c>
      <c r="C66" s="33"/>
      <c r="D66" s="33"/>
      <c r="E66" s="33"/>
      <c r="F66" s="33"/>
      <c r="G66" s="33"/>
      <c r="H66" s="33"/>
      <c r="I66" s="33"/>
    </row>
    <row r="67" spans="1:9" ht="56" x14ac:dyDescent="0.2">
      <c r="A67" s="2" t="s">
        <v>710</v>
      </c>
      <c r="B67" s="33">
        <f>AVERAGE(H17:H57)</f>
        <v>46.575609756097563</v>
      </c>
      <c r="C67" s="33"/>
      <c r="D67" s="33"/>
      <c r="E67" s="33"/>
      <c r="F67" s="33"/>
      <c r="G67" s="33"/>
      <c r="H67" s="33"/>
      <c r="I67" s="33"/>
    </row>
    <row r="68" spans="1:9" ht="70" x14ac:dyDescent="0.2">
      <c r="A68" s="2" t="s">
        <v>711</v>
      </c>
      <c r="B68" s="33">
        <f>MIN(H17:H57)</f>
        <v>40.700000000000003</v>
      </c>
      <c r="C68" s="33"/>
      <c r="D68" s="33"/>
      <c r="E68" s="33"/>
      <c r="F68" s="33"/>
      <c r="G68" s="33"/>
      <c r="H68" s="33"/>
      <c r="I68" s="33"/>
    </row>
    <row r="69" spans="1:9" ht="70" x14ac:dyDescent="0.2">
      <c r="A69" s="2" t="s">
        <v>712</v>
      </c>
      <c r="B69" s="33">
        <f>MAX(H17:H57)</f>
        <v>54.5</v>
      </c>
      <c r="C69" s="33"/>
      <c r="D69" s="33"/>
      <c r="E69" s="33"/>
      <c r="F69" s="33"/>
      <c r="G69" s="33"/>
      <c r="H69" s="33"/>
      <c r="I69" s="33"/>
    </row>
    <row r="70" spans="1:9" ht="56" x14ac:dyDescent="0.2">
      <c r="A70" s="2" t="s">
        <v>713</v>
      </c>
      <c r="B70" s="33">
        <v>25</v>
      </c>
      <c r="C70" s="33"/>
      <c r="D70" s="33"/>
      <c r="E70" s="33"/>
      <c r="F70" s="33"/>
      <c r="G70" s="33"/>
      <c r="H70" s="33"/>
      <c r="I70" s="33"/>
    </row>
    <row r="71" spans="1:9" ht="70" x14ac:dyDescent="0.2">
      <c r="A71" s="2" t="s">
        <v>714</v>
      </c>
      <c r="B71" s="33">
        <f>COUNTIF(I17:I57,"PASS")</f>
        <v>41</v>
      </c>
      <c r="C71" s="33"/>
      <c r="D71" s="33"/>
      <c r="E71" s="33"/>
      <c r="F71" s="33"/>
      <c r="G71" s="33"/>
      <c r="H71" s="33"/>
      <c r="I71" s="33"/>
    </row>
    <row r="72" spans="1:9" ht="56" x14ac:dyDescent="0.2">
      <c r="A72" s="2" t="s">
        <v>715</v>
      </c>
      <c r="B72" s="33">
        <f>COUNTIF(I17:I57,"FAIL")</f>
        <v>0</v>
      </c>
      <c r="C72" s="33"/>
      <c r="D72" s="33"/>
      <c r="E72" s="33"/>
      <c r="F72" s="33"/>
      <c r="G72" s="33"/>
      <c r="H72" s="33"/>
      <c r="I72" s="33"/>
    </row>
  </sheetData>
  <mergeCells count="34">
    <mergeCell ref="B72:I72"/>
    <mergeCell ref="B67:I67"/>
    <mergeCell ref="B68:I68"/>
    <mergeCell ref="B69:I69"/>
    <mergeCell ref="B70:I70"/>
    <mergeCell ref="B71:I71"/>
    <mergeCell ref="B62:I62"/>
    <mergeCell ref="B63:I63"/>
    <mergeCell ref="B64:I64"/>
    <mergeCell ref="B65:I65"/>
    <mergeCell ref="B66:I66"/>
    <mergeCell ref="A12:C12"/>
    <mergeCell ref="D12:I12"/>
    <mergeCell ref="A15:I15"/>
    <mergeCell ref="A60:I60"/>
    <mergeCell ref="B61:I61"/>
    <mergeCell ref="A9:C9"/>
    <mergeCell ref="D9:I9"/>
    <mergeCell ref="A10:C10"/>
    <mergeCell ref="D10:I10"/>
    <mergeCell ref="A11:C11"/>
    <mergeCell ref="D11:I11"/>
    <mergeCell ref="A6:C6"/>
    <mergeCell ref="D6:I6"/>
    <mergeCell ref="A7:C7"/>
    <mergeCell ref="D7:I7"/>
    <mergeCell ref="A8:C8"/>
    <mergeCell ref="D8:I8"/>
    <mergeCell ref="A1:I1"/>
    <mergeCell ref="A3:I3"/>
    <mergeCell ref="A4:C4"/>
    <mergeCell ref="D4:I4"/>
    <mergeCell ref="A5:C5"/>
    <mergeCell ref="D5:I5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1. Project Summary</vt:lpstr>
      <vt:lpstr>2. Soil Profile Parameters</vt:lpstr>
      <vt:lpstr>3. CMC Design Parameters</vt:lpstr>
      <vt:lpstr>4. Plate Load Tests</vt:lpstr>
      <vt:lpstr>5. Zone Load Test</vt:lpstr>
      <vt:lpstr>6. Pile Integrity Tests</vt:lpstr>
      <vt:lpstr>7. Concrete Compressive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Dan Ponti</cp:lastModifiedBy>
  <cp:revision>0</cp:revision>
  <dcterms:created xsi:type="dcterms:W3CDTF">2026-05-11T03:03:38Z</dcterms:created>
  <dcterms:modified xsi:type="dcterms:W3CDTF">2026-06-30T08:46:10Z</dcterms:modified>
  <dc:language>en-US</dc:language>
</cp:coreProperties>
</file>